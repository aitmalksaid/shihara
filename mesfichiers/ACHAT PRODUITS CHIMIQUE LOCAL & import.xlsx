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chra\Dropbox\TVA SHIHARA\said\"/>
    </mc:Choice>
  </mc:AlternateContent>
  <xr:revisionPtr revIDLastSave="0" documentId="13_ncr:1_{678D3317-6211-438D-A525-288ECEED436B}" xr6:coauthVersionLast="47" xr6:coauthVersionMax="47" xr10:uidLastSave="{00000000-0000-0000-0000-000000000000}"/>
  <bookViews>
    <workbookView xWindow="-120" yWindow="-120" windowWidth="29040" windowHeight="15840" activeTab="1" xr2:uid="{B726CEFA-774B-4AFF-B72B-DF5DB5D3E77A}"/>
  </bookViews>
  <sheets>
    <sheet name="Achats 2025" sheetId="1" r:id="rId1"/>
    <sheet name="IMPORT DETAILLE" sheetId="2" r:id="rId2"/>
  </sheets>
  <definedNames>
    <definedName name="_xlnm._FilterDatabase" localSheetId="0" hidden="1">'Achats 2025'!$B$4:$W$319</definedName>
    <definedName name="_xlnm._FilterDatabase" localSheetId="1" hidden="1">'IMPORT DETAILLE'!$A$2:$K$24</definedName>
    <definedName name="_xlnm.Print_Area" localSheetId="0">'Achats 2025'!$B$1:$AC$4</definedName>
    <definedName name="_xlnm.Print_Area" localSheetId="1">'IMPORT DETAILLE'!$A$1:$K$3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2" l="1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L408" i="1"/>
  <c r="K408" i="1" s="1"/>
  <c r="J408" i="1"/>
  <c r="L407" i="1"/>
  <c r="J407" i="1"/>
  <c r="K407" i="1" s="1"/>
  <c r="L406" i="1"/>
  <c r="K406" i="1" s="1"/>
  <c r="J406" i="1"/>
  <c r="N405" i="1"/>
  <c r="M405" i="1" s="1"/>
  <c r="O405" i="1" s="1"/>
  <c r="L405" i="1"/>
  <c r="K405" i="1"/>
  <c r="J405" i="1"/>
  <c r="N404" i="1"/>
  <c r="M404" i="1" s="1"/>
  <c r="O404" i="1" s="1"/>
  <c r="K404" i="1"/>
  <c r="N403" i="1"/>
  <c r="L403" i="1"/>
  <c r="J403" i="1"/>
  <c r="V319" i="1"/>
  <c r="AD319" i="1" s="1"/>
  <c r="AE319" i="1" s="1"/>
  <c r="U319" i="1"/>
  <c r="W319" i="1" s="1"/>
  <c r="T319" i="1"/>
  <c r="R319" i="1"/>
  <c r="K319" i="1"/>
  <c r="L319" i="1" s="1"/>
  <c r="V318" i="1"/>
  <c r="AD318" i="1" s="1"/>
  <c r="T318" i="1"/>
  <c r="R318" i="1"/>
  <c r="W317" i="1"/>
  <c r="V317" i="1" s="1"/>
  <c r="AD317" i="1" s="1"/>
  <c r="AE317" i="1" s="1"/>
  <c r="U317" i="1"/>
  <c r="L317" i="1"/>
  <c r="U316" i="1"/>
  <c r="W316" i="1" s="1"/>
  <c r="V316" i="1" s="1"/>
  <c r="AD316" i="1" s="1"/>
  <c r="AE316" i="1" s="1"/>
  <c r="L316" i="1"/>
  <c r="AD315" i="1"/>
  <c r="AE315" i="1" s="1"/>
  <c r="W315" i="1"/>
  <c r="U315" i="1"/>
  <c r="L315" i="1"/>
  <c r="AD314" i="1"/>
  <c r="AE314" i="1" s="1"/>
  <c r="U314" i="1"/>
  <c r="W314" i="1" s="1"/>
  <c r="L314" i="1"/>
  <c r="AE313" i="1"/>
  <c r="AD313" i="1"/>
  <c r="L313" i="1"/>
  <c r="AD312" i="1"/>
  <c r="AE312" i="1" s="1"/>
  <c r="U312" i="1"/>
  <c r="L312" i="1"/>
  <c r="AD311" i="1"/>
  <c r="AE311" i="1" s="1"/>
  <c r="U311" i="1"/>
  <c r="W311" i="1" s="1"/>
  <c r="L311" i="1"/>
  <c r="U310" i="1"/>
  <c r="W310" i="1" s="1"/>
  <c r="V310" i="1" s="1"/>
  <c r="AD310" i="1" s="1"/>
  <c r="AE310" i="1" s="1"/>
  <c r="R310" i="1"/>
  <c r="L310" i="1"/>
  <c r="U309" i="1"/>
  <c r="W309" i="1" s="1"/>
  <c r="V309" i="1" s="1"/>
  <c r="AD309" i="1" s="1"/>
  <c r="AE309" i="1" s="1"/>
  <c r="R309" i="1"/>
  <c r="L309" i="1"/>
  <c r="W308" i="1"/>
  <c r="V308" i="1" s="1"/>
  <c r="AD308" i="1" s="1"/>
  <c r="AE308" i="1" s="1"/>
  <c r="U308" i="1"/>
  <c r="R308" i="1"/>
  <c r="L308" i="1"/>
  <c r="W307" i="1"/>
  <c r="V307" i="1" s="1"/>
  <c r="AD307" i="1" s="1"/>
  <c r="AE307" i="1" s="1"/>
  <c r="U307" i="1"/>
  <c r="R307" i="1"/>
  <c r="L307" i="1"/>
  <c r="AE306" i="1"/>
  <c r="AD306" i="1"/>
  <c r="U306" i="1"/>
  <c r="W306" i="1" s="1"/>
  <c r="R306" i="1"/>
  <c r="L306" i="1"/>
  <c r="AD305" i="1"/>
  <c r="V305" i="1"/>
  <c r="T305" i="1"/>
  <c r="AE305" i="1" s="1"/>
  <c r="R305" i="1"/>
  <c r="AE304" i="1"/>
  <c r="AD304" i="1"/>
  <c r="V304" i="1"/>
  <c r="U304" i="1"/>
  <c r="W304" i="1" s="1"/>
  <c r="T304" i="1"/>
  <c r="R304" i="1"/>
  <c r="K304" i="1"/>
  <c r="L304" i="1" s="1"/>
  <c r="V303" i="1"/>
  <c r="AD303" i="1" s="1"/>
  <c r="AE303" i="1" s="1"/>
  <c r="U303" i="1"/>
  <c r="W303" i="1" s="1"/>
  <c r="T303" i="1"/>
  <c r="R303" i="1"/>
  <c r="L303" i="1"/>
  <c r="K303" i="1"/>
  <c r="V302" i="1"/>
  <c r="AD302" i="1" s="1"/>
  <c r="T302" i="1"/>
  <c r="R302" i="1"/>
  <c r="AD301" i="1"/>
  <c r="V301" i="1"/>
  <c r="T301" i="1"/>
  <c r="AE301" i="1" s="1"/>
  <c r="R301" i="1"/>
  <c r="AE300" i="1"/>
  <c r="AD300" i="1"/>
  <c r="V300" i="1"/>
  <c r="U300" i="1"/>
  <c r="W300" i="1" s="1"/>
  <c r="T300" i="1"/>
  <c r="R300" i="1"/>
  <c r="K300" i="1"/>
  <c r="L300" i="1" s="1"/>
  <c r="V299" i="1"/>
  <c r="AD299" i="1" s="1"/>
  <c r="AE299" i="1" s="1"/>
  <c r="U299" i="1"/>
  <c r="W299" i="1" s="1"/>
  <c r="T299" i="1"/>
  <c r="R299" i="1"/>
  <c r="L299" i="1"/>
  <c r="K299" i="1"/>
  <c r="V298" i="1"/>
  <c r="AD298" i="1" s="1"/>
  <c r="T298" i="1"/>
  <c r="R298" i="1"/>
  <c r="AD297" i="1"/>
  <c r="V297" i="1"/>
  <c r="T297" i="1"/>
  <c r="AE297" i="1" s="1"/>
  <c r="R297" i="1"/>
  <c r="AE296" i="1"/>
  <c r="AD296" i="1"/>
  <c r="V296" i="1"/>
  <c r="U296" i="1"/>
  <c r="W296" i="1" s="1"/>
  <c r="T296" i="1"/>
  <c r="R296" i="1"/>
  <c r="K296" i="1"/>
  <c r="L296" i="1" s="1"/>
  <c r="V295" i="1"/>
  <c r="AD295" i="1" s="1"/>
  <c r="AE295" i="1" s="1"/>
  <c r="U295" i="1"/>
  <c r="W295" i="1" s="1"/>
  <c r="T295" i="1"/>
  <c r="R295" i="1"/>
  <c r="L295" i="1"/>
  <c r="K295" i="1"/>
  <c r="V294" i="1"/>
  <c r="AD294" i="1" s="1"/>
  <c r="T294" i="1"/>
  <c r="R294" i="1"/>
  <c r="AD293" i="1"/>
  <c r="V293" i="1"/>
  <c r="T293" i="1"/>
  <c r="AE293" i="1" s="1"/>
  <c r="R293" i="1"/>
  <c r="AE292" i="1"/>
  <c r="AD292" i="1"/>
  <c r="V292" i="1"/>
  <c r="U292" i="1"/>
  <c r="W292" i="1" s="1"/>
  <c r="T292" i="1"/>
  <c r="R292" i="1"/>
  <c r="K292" i="1"/>
  <c r="L292" i="1" s="1"/>
  <c r="V291" i="1"/>
  <c r="AD291" i="1" s="1"/>
  <c r="AE291" i="1" s="1"/>
  <c r="U291" i="1"/>
  <c r="W291" i="1" s="1"/>
  <c r="T291" i="1"/>
  <c r="R291" i="1"/>
  <c r="L291" i="1"/>
  <c r="K291" i="1"/>
  <c r="V290" i="1"/>
  <c r="AD290" i="1" s="1"/>
  <c r="T290" i="1"/>
  <c r="R290" i="1"/>
  <c r="AD289" i="1"/>
  <c r="V289" i="1"/>
  <c r="T289" i="1"/>
  <c r="AE289" i="1" s="1"/>
  <c r="R289" i="1"/>
  <c r="AD288" i="1"/>
  <c r="V288" i="1"/>
  <c r="T288" i="1"/>
  <c r="AE288" i="1" s="1"/>
  <c r="R288" i="1"/>
  <c r="V287" i="1"/>
  <c r="AD287" i="1" s="1"/>
  <c r="AE287" i="1" s="1"/>
  <c r="U287" i="1"/>
  <c r="W287" i="1" s="1"/>
  <c r="T287" i="1"/>
  <c r="R287" i="1"/>
  <c r="K287" i="1"/>
  <c r="L287" i="1" s="1"/>
  <c r="F287" i="1"/>
  <c r="AD286" i="1"/>
  <c r="V286" i="1"/>
  <c r="T286" i="1"/>
  <c r="AE286" i="1" s="1"/>
  <c r="R286" i="1"/>
  <c r="U285" i="1"/>
  <c r="W285" i="1" s="1"/>
  <c r="V285" i="1" s="1"/>
  <c r="AD285" i="1" s="1"/>
  <c r="AE285" i="1" s="1"/>
  <c r="L285" i="1"/>
  <c r="W284" i="1"/>
  <c r="V284" i="1"/>
  <c r="AD284" i="1" s="1"/>
  <c r="AE284" i="1" s="1"/>
  <c r="U284" i="1"/>
  <c r="L284" i="1"/>
  <c r="U283" i="1"/>
  <c r="W283" i="1" s="1"/>
  <c r="V283" i="1" s="1"/>
  <c r="AD283" i="1" s="1"/>
  <c r="AE283" i="1" s="1"/>
  <c r="L283" i="1"/>
  <c r="W282" i="1"/>
  <c r="V282" i="1"/>
  <c r="AD282" i="1" s="1"/>
  <c r="AE282" i="1" s="1"/>
  <c r="U282" i="1"/>
  <c r="L282" i="1"/>
  <c r="U281" i="1"/>
  <c r="W281" i="1" s="1"/>
  <c r="V281" i="1" s="1"/>
  <c r="AD281" i="1" s="1"/>
  <c r="AE281" i="1" s="1"/>
  <c r="L281" i="1"/>
  <c r="AD280" i="1"/>
  <c r="AE280" i="1" s="1"/>
  <c r="U280" i="1"/>
  <c r="W280" i="1" s="1"/>
  <c r="L280" i="1"/>
  <c r="AD279" i="1"/>
  <c r="V279" i="1"/>
  <c r="T279" i="1"/>
  <c r="AE279" i="1" s="1"/>
  <c r="R279" i="1"/>
  <c r="AD278" i="1"/>
  <c r="V278" i="1"/>
  <c r="T278" i="1"/>
  <c r="R278" i="1"/>
  <c r="V277" i="1"/>
  <c r="AD277" i="1" s="1"/>
  <c r="AE277" i="1" s="1"/>
  <c r="U277" i="1"/>
  <c r="W277" i="1" s="1"/>
  <c r="T277" i="1"/>
  <c r="R277" i="1"/>
  <c r="K277" i="1"/>
  <c r="L277" i="1" s="1"/>
  <c r="V276" i="1"/>
  <c r="AD276" i="1" s="1"/>
  <c r="T276" i="1"/>
  <c r="AE276" i="1" s="1"/>
  <c r="R276" i="1"/>
  <c r="AD275" i="1"/>
  <c r="V275" i="1"/>
  <c r="T275" i="1"/>
  <c r="AE275" i="1" s="1"/>
  <c r="R275" i="1"/>
  <c r="AD274" i="1"/>
  <c r="V274" i="1"/>
  <c r="T274" i="1"/>
  <c r="R274" i="1"/>
  <c r="AE273" i="1"/>
  <c r="V273" i="1"/>
  <c r="AD273" i="1" s="1"/>
  <c r="U273" i="1"/>
  <c r="W273" i="1" s="1"/>
  <c r="T273" i="1"/>
  <c r="R273" i="1"/>
  <c r="K273" i="1"/>
  <c r="L273" i="1" s="1"/>
  <c r="V272" i="1"/>
  <c r="AD272" i="1" s="1"/>
  <c r="T272" i="1"/>
  <c r="R272" i="1"/>
  <c r="AD271" i="1"/>
  <c r="V271" i="1"/>
  <c r="T271" i="1"/>
  <c r="AE271" i="1" s="1"/>
  <c r="R271" i="1"/>
  <c r="AD270" i="1"/>
  <c r="V270" i="1"/>
  <c r="T270" i="1"/>
  <c r="R270" i="1"/>
  <c r="V269" i="1"/>
  <c r="AD269" i="1" s="1"/>
  <c r="AE269" i="1" s="1"/>
  <c r="U269" i="1"/>
  <c r="W269" i="1" s="1"/>
  <c r="T269" i="1"/>
  <c r="R269" i="1"/>
  <c r="K269" i="1"/>
  <c r="L269" i="1" s="1"/>
  <c r="V268" i="1"/>
  <c r="AD268" i="1" s="1"/>
  <c r="T268" i="1"/>
  <c r="R268" i="1"/>
  <c r="AD267" i="1"/>
  <c r="V267" i="1"/>
  <c r="T267" i="1"/>
  <c r="AE267" i="1" s="1"/>
  <c r="R267" i="1"/>
  <c r="AD266" i="1"/>
  <c r="V266" i="1"/>
  <c r="T266" i="1"/>
  <c r="R266" i="1"/>
  <c r="AE265" i="1"/>
  <c r="V265" i="1"/>
  <c r="AD265" i="1" s="1"/>
  <c r="U265" i="1"/>
  <c r="W265" i="1" s="1"/>
  <c r="T265" i="1"/>
  <c r="R265" i="1"/>
  <c r="K265" i="1"/>
  <c r="L265" i="1" s="1"/>
  <c r="V264" i="1"/>
  <c r="AD264" i="1" s="1"/>
  <c r="T264" i="1"/>
  <c r="R264" i="1"/>
  <c r="AD263" i="1"/>
  <c r="V263" i="1"/>
  <c r="T263" i="1"/>
  <c r="AE263" i="1" s="1"/>
  <c r="R263" i="1"/>
  <c r="AD262" i="1"/>
  <c r="V262" i="1"/>
  <c r="T262" i="1"/>
  <c r="R262" i="1"/>
  <c r="AE261" i="1"/>
  <c r="V261" i="1"/>
  <c r="AD261" i="1" s="1"/>
  <c r="U261" i="1"/>
  <c r="W261" i="1" s="1"/>
  <c r="T261" i="1"/>
  <c r="R261" i="1"/>
  <c r="K261" i="1"/>
  <c r="L261" i="1" s="1"/>
  <c r="V260" i="1"/>
  <c r="AD260" i="1" s="1"/>
  <c r="T260" i="1"/>
  <c r="AE260" i="1" s="1"/>
  <c r="R260" i="1"/>
  <c r="AD259" i="1"/>
  <c r="V259" i="1"/>
  <c r="T259" i="1"/>
  <c r="AE259" i="1" s="1"/>
  <c r="R259" i="1"/>
  <c r="AD258" i="1"/>
  <c r="V258" i="1"/>
  <c r="T258" i="1"/>
  <c r="R258" i="1"/>
  <c r="AE257" i="1"/>
  <c r="AD257" i="1"/>
  <c r="W257" i="1"/>
  <c r="U257" i="1"/>
  <c r="L257" i="1"/>
  <c r="AD256" i="1"/>
  <c r="AE256" i="1" s="1"/>
  <c r="U256" i="1"/>
  <c r="W256" i="1" s="1"/>
  <c r="L256" i="1"/>
  <c r="AE255" i="1"/>
  <c r="AD255" i="1"/>
  <c r="W255" i="1"/>
  <c r="U255" i="1"/>
  <c r="L255" i="1"/>
  <c r="AD254" i="1"/>
  <c r="AE254" i="1" s="1"/>
  <c r="U254" i="1"/>
  <c r="W254" i="1" s="1"/>
  <c r="L254" i="1"/>
  <c r="AE253" i="1"/>
  <c r="AD253" i="1"/>
  <c r="U253" i="1"/>
  <c r="T253" i="1"/>
  <c r="K253" i="1" s="1"/>
  <c r="L253" i="1"/>
  <c r="AE252" i="1"/>
  <c r="AD252" i="1"/>
  <c r="W252" i="1"/>
  <c r="U252" i="1"/>
  <c r="L252" i="1"/>
  <c r="AD251" i="1"/>
  <c r="AE251" i="1" s="1"/>
  <c r="L251" i="1"/>
  <c r="AE250" i="1"/>
  <c r="AD250" i="1"/>
  <c r="L250" i="1"/>
  <c r="AD249" i="1"/>
  <c r="AE249" i="1" s="1"/>
  <c r="L249" i="1"/>
  <c r="AE248" i="1"/>
  <c r="AD248" i="1"/>
  <c r="U248" i="1"/>
  <c r="L248" i="1"/>
  <c r="AE247" i="1"/>
  <c r="AD247" i="1"/>
  <c r="U247" i="1"/>
  <c r="L247" i="1"/>
  <c r="AE246" i="1"/>
  <c r="AD246" i="1"/>
  <c r="U246" i="1"/>
  <c r="L246" i="1"/>
  <c r="AE245" i="1"/>
  <c r="AD245" i="1"/>
  <c r="U245" i="1"/>
  <c r="L245" i="1"/>
  <c r="AE244" i="1"/>
  <c r="AD244" i="1"/>
  <c r="W244" i="1"/>
  <c r="U244" i="1"/>
  <c r="L244" i="1"/>
  <c r="AD243" i="1"/>
  <c r="U243" i="1"/>
  <c r="W243" i="1" s="1"/>
  <c r="T243" i="1"/>
  <c r="AE243" i="1" s="1"/>
  <c r="L243" i="1"/>
  <c r="K243" i="1"/>
  <c r="AE242" i="1"/>
  <c r="AD242" i="1"/>
  <c r="U242" i="1"/>
  <c r="L242" i="1"/>
  <c r="AE241" i="1"/>
  <c r="AD241" i="1"/>
  <c r="U241" i="1"/>
  <c r="L241" i="1"/>
  <c r="AE240" i="1"/>
  <c r="AD240" i="1"/>
  <c r="U240" i="1"/>
  <c r="L240" i="1"/>
  <c r="AE239" i="1"/>
  <c r="AD239" i="1"/>
  <c r="U239" i="1"/>
  <c r="L239" i="1"/>
  <c r="AE238" i="1"/>
  <c r="AD238" i="1"/>
  <c r="U238" i="1"/>
  <c r="L238" i="1"/>
  <c r="AE237" i="1"/>
  <c r="AD237" i="1"/>
  <c r="U237" i="1"/>
  <c r="L237" i="1"/>
  <c r="AE236" i="1"/>
  <c r="AD236" i="1"/>
  <c r="U236" i="1"/>
  <c r="L236" i="1"/>
  <c r="W235" i="1"/>
  <c r="V235" i="1"/>
  <c r="AD235" i="1" s="1"/>
  <c r="T235" i="1"/>
  <c r="U235" i="1" s="1"/>
  <c r="R235" i="1"/>
  <c r="K235" i="1"/>
  <c r="L235" i="1" s="1"/>
  <c r="V234" i="1"/>
  <c r="AD234" i="1" s="1"/>
  <c r="U234" i="1"/>
  <c r="T234" i="1"/>
  <c r="R234" i="1"/>
  <c r="L234" i="1"/>
  <c r="K234" i="1"/>
  <c r="V233" i="1"/>
  <c r="AD233" i="1" s="1"/>
  <c r="AE233" i="1" s="1"/>
  <c r="U233" i="1"/>
  <c r="W233" i="1" s="1"/>
  <c r="T233" i="1"/>
  <c r="R233" i="1"/>
  <c r="L233" i="1"/>
  <c r="K233" i="1"/>
  <c r="V232" i="1"/>
  <c r="AD232" i="1" s="1"/>
  <c r="T232" i="1"/>
  <c r="R232" i="1"/>
  <c r="AE231" i="1"/>
  <c r="AD231" i="1"/>
  <c r="V231" i="1"/>
  <c r="U231" i="1"/>
  <c r="W231" i="1" s="1"/>
  <c r="T231" i="1"/>
  <c r="K231" i="1" s="1"/>
  <c r="L231" i="1" s="1"/>
  <c r="R231" i="1"/>
  <c r="AD230" i="1"/>
  <c r="V230" i="1"/>
  <c r="T230" i="1"/>
  <c r="AE230" i="1" s="1"/>
  <c r="R230" i="1"/>
  <c r="V229" i="1"/>
  <c r="AD229" i="1" s="1"/>
  <c r="T229" i="1"/>
  <c r="AE229" i="1" s="1"/>
  <c r="R229" i="1"/>
  <c r="AE228" i="1"/>
  <c r="AD228" i="1"/>
  <c r="V228" i="1"/>
  <c r="U228" i="1"/>
  <c r="W228" i="1" s="1"/>
  <c r="T228" i="1"/>
  <c r="R228" i="1"/>
  <c r="K228" i="1"/>
  <c r="L228" i="1" s="1"/>
  <c r="V227" i="1"/>
  <c r="AD227" i="1" s="1"/>
  <c r="AE227" i="1" s="1"/>
  <c r="U227" i="1"/>
  <c r="T227" i="1"/>
  <c r="R227" i="1"/>
  <c r="L227" i="1"/>
  <c r="K227" i="1"/>
  <c r="V226" i="1"/>
  <c r="AD226" i="1" s="1"/>
  <c r="T226" i="1"/>
  <c r="R226" i="1"/>
  <c r="L226" i="1"/>
  <c r="K226" i="1"/>
  <c r="AD225" i="1"/>
  <c r="V225" i="1"/>
  <c r="T225" i="1"/>
  <c r="R225" i="1"/>
  <c r="AE224" i="1"/>
  <c r="AD224" i="1"/>
  <c r="V224" i="1"/>
  <c r="U224" i="1"/>
  <c r="W224" i="1" s="1"/>
  <c r="T224" i="1"/>
  <c r="R224" i="1"/>
  <c r="K224" i="1"/>
  <c r="L224" i="1" s="1"/>
  <c r="AE222" i="1"/>
  <c r="AD222" i="1"/>
  <c r="U222" i="1"/>
  <c r="W222" i="1" s="1"/>
  <c r="L222" i="1"/>
  <c r="AD221" i="1"/>
  <c r="AE221" i="1" s="1"/>
  <c r="L221" i="1"/>
  <c r="AE220" i="1"/>
  <c r="AD220" i="1"/>
  <c r="U220" i="1"/>
  <c r="W220" i="1" s="1"/>
  <c r="L220" i="1"/>
  <c r="AD219" i="1"/>
  <c r="AE219" i="1" s="1"/>
  <c r="W219" i="1"/>
  <c r="U219" i="1"/>
  <c r="AD218" i="1"/>
  <c r="AE218" i="1" s="1"/>
  <c r="W218" i="1"/>
  <c r="U218" i="1"/>
  <c r="AD217" i="1"/>
  <c r="AE217" i="1" s="1"/>
  <c r="W217" i="1"/>
  <c r="U217" i="1"/>
  <c r="AD216" i="1"/>
  <c r="AE216" i="1" s="1"/>
  <c r="W216" i="1"/>
  <c r="U216" i="1"/>
  <c r="AD215" i="1"/>
  <c r="AE215" i="1" s="1"/>
  <c r="W215" i="1"/>
  <c r="U215" i="1"/>
  <c r="AD214" i="1"/>
  <c r="AE214" i="1" s="1"/>
  <c r="W214" i="1"/>
  <c r="L214" i="1"/>
  <c r="AD213" i="1"/>
  <c r="AE213" i="1" s="1"/>
  <c r="L213" i="1"/>
  <c r="AE212" i="1"/>
  <c r="AD212" i="1"/>
  <c r="U212" i="1"/>
  <c r="W212" i="1" s="1"/>
  <c r="L212" i="1"/>
  <c r="AD211" i="1"/>
  <c r="AE211" i="1" s="1"/>
  <c r="W211" i="1"/>
  <c r="U211" i="1"/>
  <c r="L211" i="1"/>
  <c r="AD210" i="1"/>
  <c r="AE210" i="1" s="1"/>
  <c r="U210" i="1"/>
  <c r="L210" i="1"/>
  <c r="AD209" i="1"/>
  <c r="V209" i="1"/>
  <c r="T209" i="1"/>
  <c r="R209" i="1"/>
  <c r="AE208" i="1"/>
  <c r="V208" i="1"/>
  <c r="AD208" i="1" s="1"/>
  <c r="U208" i="1"/>
  <c r="W208" i="1" s="1"/>
  <c r="T208" i="1"/>
  <c r="R208" i="1"/>
  <c r="K208" i="1"/>
  <c r="L208" i="1" s="1"/>
  <c r="V207" i="1"/>
  <c r="AD207" i="1" s="1"/>
  <c r="T207" i="1"/>
  <c r="R207" i="1"/>
  <c r="L207" i="1"/>
  <c r="K207" i="1"/>
  <c r="V206" i="1"/>
  <c r="AD206" i="1" s="1"/>
  <c r="T206" i="1"/>
  <c r="R206" i="1"/>
  <c r="L206" i="1"/>
  <c r="K206" i="1"/>
  <c r="AD205" i="1"/>
  <c r="V205" i="1"/>
  <c r="T205" i="1"/>
  <c r="R205" i="1"/>
  <c r="AE204" i="1"/>
  <c r="AD204" i="1"/>
  <c r="V204" i="1"/>
  <c r="U204" i="1"/>
  <c r="W204" i="1" s="1"/>
  <c r="T204" i="1"/>
  <c r="R204" i="1"/>
  <c r="K204" i="1"/>
  <c r="L204" i="1" s="1"/>
  <c r="V203" i="1"/>
  <c r="AD203" i="1" s="1"/>
  <c r="AE203" i="1" s="1"/>
  <c r="U203" i="1"/>
  <c r="T203" i="1"/>
  <c r="R203" i="1"/>
  <c r="L203" i="1"/>
  <c r="K203" i="1"/>
  <c r="V202" i="1"/>
  <c r="AD202" i="1" s="1"/>
  <c r="T202" i="1"/>
  <c r="R202" i="1"/>
  <c r="L202" i="1"/>
  <c r="K202" i="1"/>
  <c r="AD201" i="1"/>
  <c r="V201" i="1"/>
  <c r="T201" i="1"/>
  <c r="R201" i="1"/>
  <c r="AE200" i="1"/>
  <c r="AD200" i="1"/>
  <c r="V200" i="1"/>
  <c r="U200" i="1"/>
  <c r="W200" i="1" s="1"/>
  <c r="T200" i="1"/>
  <c r="R200" i="1"/>
  <c r="K200" i="1"/>
  <c r="L200" i="1" s="1"/>
  <c r="V199" i="1"/>
  <c r="AD199" i="1" s="1"/>
  <c r="AE199" i="1" s="1"/>
  <c r="U199" i="1"/>
  <c r="T199" i="1"/>
  <c r="R199" i="1"/>
  <c r="L199" i="1"/>
  <c r="K199" i="1"/>
  <c r="V198" i="1"/>
  <c r="AD198" i="1" s="1"/>
  <c r="T198" i="1"/>
  <c r="R198" i="1"/>
  <c r="L198" i="1"/>
  <c r="K198" i="1"/>
  <c r="AD197" i="1"/>
  <c r="V197" i="1"/>
  <c r="T197" i="1"/>
  <c r="R197" i="1"/>
  <c r="AE196" i="1"/>
  <c r="AD196" i="1"/>
  <c r="V196" i="1"/>
  <c r="U196" i="1"/>
  <c r="W196" i="1" s="1"/>
  <c r="T196" i="1"/>
  <c r="R196" i="1"/>
  <c r="K196" i="1"/>
  <c r="L196" i="1" s="1"/>
  <c r="V195" i="1"/>
  <c r="AD195" i="1" s="1"/>
  <c r="AE195" i="1" s="1"/>
  <c r="U195" i="1"/>
  <c r="T195" i="1"/>
  <c r="R195" i="1"/>
  <c r="L195" i="1"/>
  <c r="K195" i="1"/>
  <c r="V194" i="1"/>
  <c r="AD194" i="1" s="1"/>
  <c r="T194" i="1"/>
  <c r="AE194" i="1" s="1"/>
  <c r="R194" i="1"/>
  <c r="L194" i="1"/>
  <c r="K194" i="1"/>
  <c r="AD193" i="1"/>
  <c r="V193" i="1"/>
  <c r="T193" i="1"/>
  <c r="R193" i="1"/>
  <c r="AE192" i="1"/>
  <c r="AD192" i="1"/>
  <c r="V192" i="1"/>
  <c r="U192" i="1"/>
  <c r="W192" i="1" s="1"/>
  <c r="T192" i="1"/>
  <c r="R192" i="1"/>
  <c r="K192" i="1"/>
  <c r="L192" i="1" s="1"/>
  <c r="V191" i="1"/>
  <c r="AD191" i="1" s="1"/>
  <c r="AE191" i="1" s="1"/>
  <c r="U191" i="1"/>
  <c r="W191" i="1" s="1"/>
  <c r="T191" i="1"/>
  <c r="R191" i="1"/>
  <c r="L191" i="1"/>
  <c r="K191" i="1"/>
  <c r="V190" i="1"/>
  <c r="AD190" i="1" s="1"/>
  <c r="T190" i="1"/>
  <c r="R190" i="1"/>
  <c r="AD189" i="1"/>
  <c r="AE189" i="1" s="1"/>
  <c r="W189" i="1"/>
  <c r="U189" i="1"/>
  <c r="L189" i="1"/>
  <c r="AE188" i="1"/>
  <c r="AD188" i="1"/>
  <c r="U188" i="1"/>
  <c r="W188" i="1" s="1"/>
  <c r="L188" i="1"/>
  <c r="AD187" i="1"/>
  <c r="L187" i="1"/>
  <c r="AD186" i="1"/>
  <c r="AE186" i="1" s="1"/>
  <c r="W186" i="1"/>
  <c r="U186" i="1"/>
  <c r="L186" i="1"/>
  <c r="AE185" i="1"/>
  <c r="AD185" i="1"/>
  <c r="U185" i="1"/>
  <c r="W185" i="1" s="1"/>
  <c r="L185" i="1"/>
  <c r="AE184" i="1"/>
  <c r="AD184" i="1"/>
  <c r="U184" i="1"/>
  <c r="W184" i="1" s="1"/>
  <c r="L184" i="1"/>
  <c r="AE183" i="1"/>
  <c r="AD183" i="1"/>
  <c r="W183" i="1"/>
  <c r="U183" i="1"/>
  <c r="L183" i="1"/>
  <c r="AD182" i="1"/>
  <c r="AE182" i="1" s="1"/>
  <c r="W182" i="1"/>
  <c r="U182" i="1"/>
  <c r="L182" i="1"/>
  <c r="AE181" i="1"/>
  <c r="AD181" i="1"/>
  <c r="W181" i="1"/>
  <c r="U181" i="1"/>
  <c r="L181" i="1"/>
  <c r="AE180" i="1"/>
  <c r="AD180" i="1"/>
  <c r="U180" i="1"/>
  <c r="W180" i="1" s="1"/>
  <c r="L180" i="1"/>
  <c r="AE179" i="1"/>
  <c r="AD179" i="1"/>
  <c r="U179" i="1"/>
  <c r="L179" i="1"/>
  <c r="AD178" i="1"/>
  <c r="AE178" i="1" s="1"/>
  <c r="W178" i="1"/>
  <c r="U178" i="1"/>
  <c r="L178" i="1"/>
  <c r="AD177" i="1"/>
  <c r="AE177" i="1" s="1"/>
  <c r="L177" i="1"/>
  <c r="AD176" i="1"/>
  <c r="AE176" i="1" s="1"/>
  <c r="W176" i="1"/>
  <c r="U176" i="1"/>
  <c r="L176" i="1"/>
  <c r="AD175" i="1"/>
  <c r="AE175" i="1" s="1"/>
  <c r="W175" i="1"/>
  <c r="U175" i="1"/>
  <c r="L175" i="1"/>
  <c r="AE174" i="1"/>
  <c r="AD174" i="1"/>
  <c r="W174" i="1"/>
  <c r="U174" i="1"/>
  <c r="L174" i="1"/>
  <c r="AE173" i="1"/>
  <c r="AD173" i="1"/>
  <c r="U173" i="1"/>
  <c r="W173" i="1" s="1"/>
  <c r="L173" i="1"/>
  <c r="AE172" i="1"/>
  <c r="AD172" i="1"/>
  <c r="W172" i="1"/>
  <c r="U172" i="1"/>
  <c r="L172" i="1"/>
  <c r="AD171" i="1"/>
  <c r="AE171" i="1" s="1"/>
  <c r="W171" i="1"/>
  <c r="U171" i="1"/>
  <c r="L171" i="1"/>
  <c r="AE170" i="1"/>
  <c r="AD170" i="1"/>
  <c r="W170" i="1"/>
  <c r="U170" i="1"/>
  <c r="L170" i="1"/>
  <c r="AE169" i="1"/>
  <c r="AD169" i="1"/>
  <c r="U169" i="1"/>
  <c r="W169" i="1" s="1"/>
  <c r="L169" i="1"/>
  <c r="U168" i="1"/>
  <c r="L168" i="1"/>
  <c r="U167" i="1"/>
  <c r="L167" i="1"/>
  <c r="AE166" i="1"/>
  <c r="AD166" i="1"/>
  <c r="W166" i="1"/>
  <c r="U166" i="1"/>
  <c r="L166" i="1"/>
  <c r="AD165" i="1"/>
  <c r="AE165" i="1" s="1"/>
  <c r="W165" i="1"/>
  <c r="U165" i="1"/>
  <c r="L165" i="1"/>
  <c r="AE164" i="1"/>
  <c r="AD164" i="1"/>
  <c r="W164" i="1"/>
  <c r="U164" i="1"/>
  <c r="L164" i="1"/>
  <c r="AD163" i="1"/>
  <c r="AE163" i="1" s="1"/>
  <c r="U163" i="1"/>
  <c r="W163" i="1" s="1"/>
  <c r="L163" i="1"/>
  <c r="AE162" i="1"/>
  <c r="AD162" i="1"/>
  <c r="U162" i="1"/>
  <c r="L162" i="1"/>
  <c r="AE161" i="1"/>
  <c r="AD161" i="1"/>
  <c r="U161" i="1"/>
  <c r="L161" i="1"/>
  <c r="AE160" i="1"/>
  <c r="AD160" i="1"/>
  <c r="U160" i="1"/>
  <c r="L160" i="1"/>
  <c r="AE159" i="1"/>
  <c r="AD159" i="1"/>
  <c r="U159" i="1"/>
  <c r="L159" i="1"/>
  <c r="AE158" i="1"/>
  <c r="AD158" i="1"/>
  <c r="U158" i="1"/>
  <c r="L158" i="1"/>
  <c r="AE157" i="1"/>
  <c r="AD157" i="1"/>
  <c r="W157" i="1"/>
  <c r="U157" i="1"/>
  <c r="L157" i="1"/>
  <c r="AD156" i="1"/>
  <c r="V156" i="1"/>
  <c r="T156" i="1"/>
  <c r="R156" i="1"/>
  <c r="AE155" i="1"/>
  <c r="AD155" i="1"/>
  <c r="V155" i="1"/>
  <c r="U155" i="1"/>
  <c r="W155" i="1" s="1"/>
  <c r="T155" i="1"/>
  <c r="R155" i="1"/>
  <c r="K155" i="1"/>
  <c r="L155" i="1" s="1"/>
  <c r="AD154" i="1"/>
  <c r="V154" i="1"/>
  <c r="T154" i="1"/>
  <c r="R154" i="1"/>
  <c r="V153" i="1"/>
  <c r="AD153" i="1" s="1"/>
  <c r="AE153" i="1" s="1"/>
  <c r="U153" i="1"/>
  <c r="W153" i="1" s="1"/>
  <c r="T153" i="1"/>
  <c r="R153" i="1"/>
  <c r="K153" i="1"/>
  <c r="L153" i="1" s="1"/>
  <c r="AD152" i="1"/>
  <c r="V152" i="1"/>
  <c r="T152" i="1"/>
  <c r="R152" i="1"/>
  <c r="AE151" i="1"/>
  <c r="AD151" i="1"/>
  <c r="W151" i="1"/>
  <c r="V151" i="1"/>
  <c r="U151" i="1"/>
  <c r="T151" i="1"/>
  <c r="R151" i="1"/>
  <c r="K151" i="1"/>
  <c r="L151" i="1" s="1"/>
  <c r="AD150" i="1"/>
  <c r="V150" i="1"/>
  <c r="T150" i="1"/>
  <c r="R150" i="1"/>
  <c r="W149" i="1"/>
  <c r="V149" i="1"/>
  <c r="AD149" i="1" s="1"/>
  <c r="AE149" i="1" s="1"/>
  <c r="U149" i="1"/>
  <c r="T149" i="1"/>
  <c r="R149" i="1"/>
  <c r="K149" i="1"/>
  <c r="L149" i="1" s="1"/>
  <c r="F149" i="1"/>
  <c r="AE148" i="1"/>
  <c r="AD148" i="1"/>
  <c r="W148" i="1"/>
  <c r="V148" i="1"/>
  <c r="U148" i="1"/>
  <c r="T148" i="1"/>
  <c r="R148" i="1"/>
  <c r="K148" i="1"/>
  <c r="L148" i="1" s="1"/>
  <c r="V147" i="1"/>
  <c r="AD147" i="1" s="1"/>
  <c r="T147" i="1"/>
  <c r="R147" i="1"/>
  <c r="AE146" i="1"/>
  <c r="W146" i="1"/>
  <c r="V146" i="1"/>
  <c r="AD146" i="1" s="1"/>
  <c r="U146" i="1"/>
  <c r="T146" i="1"/>
  <c r="R146" i="1"/>
  <c r="K146" i="1"/>
  <c r="L146" i="1" s="1"/>
  <c r="V145" i="1"/>
  <c r="AD145" i="1" s="1"/>
  <c r="T145" i="1"/>
  <c r="R145" i="1"/>
  <c r="AE144" i="1"/>
  <c r="AD144" i="1"/>
  <c r="V144" i="1"/>
  <c r="U144" i="1"/>
  <c r="W144" i="1" s="1"/>
  <c r="T144" i="1"/>
  <c r="R144" i="1"/>
  <c r="K144" i="1"/>
  <c r="L144" i="1" s="1"/>
  <c r="AD143" i="1"/>
  <c r="V143" i="1"/>
  <c r="T143" i="1"/>
  <c r="R143" i="1"/>
  <c r="AE142" i="1"/>
  <c r="V142" i="1"/>
  <c r="AD142" i="1" s="1"/>
  <c r="U142" i="1"/>
  <c r="W142" i="1" s="1"/>
  <c r="T142" i="1"/>
  <c r="R142" i="1"/>
  <c r="K142" i="1"/>
  <c r="L142" i="1" s="1"/>
  <c r="AD141" i="1"/>
  <c r="V141" i="1"/>
  <c r="T141" i="1"/>
  <c r="R141" i="1"/>
  <c r="AD140" i="1"/>
  <c r="V140" i="1"/>
  <c r="W139" i="1"/>
  <c r="V139" i="1"/>
  <c r="AD139" i="1" s="1"/>
  <c r="AE139" i="1" s="1"/>
  <c r="U139" i="1"/>
  <c r="T139" i="1"/>
  <c r="R139" i="1"/>
  <c r="K139" i="1"/>
  <c r="L139" i="1" s="1"/>
  <c r="AD138" i="1"/>
  <c r="V138" i="1"/>
  <c r="T138" i="1"/>
  <c r="R138" i="1"/>
  <c r="AE137" i="1"/>
  <c r="AD137" i="1"/>
  <c r="W137" i="1"/>
  <c r="V137" i="1"/>
  <c r="U137" i="1"/>
  <c r="T137" i="1"/>
  <c r="R137" i="1"/>
  <c r="K137" i="1"/>
  <c r="L137" i="1" s="1"/>
  <c r="V136" i="1"/>
  <c r="AD136" i="1" s="1"/>
  <c r="T136" i="1"/>
  <c r="R136" i="1"/>
  <c r="AE135" i="1"/>
  <c r="W135" i="1"/>
  <c r="V135" i="1"/>
  <c r="AD135" i="1" s="1"/>
  <c r="U135" i="1"/>
  <c r="T135" i="1"/>
  <c r="R135" i="1"/>
  <c r="K135" i="1"/>
  <c r="L135" i="1" s="1"/>
  <c r="V134" i="1"/>
  <c r="AD134" i="1" s="1"/>
  <c r="T134" i="1"/>
  <c r="R134" i="1"/>
  <c r="AE133" i="1"/>
  <c r="AD133" i="1"/>
  <c r="V133" i="1"/>
  <c r="U133" i="1"/>
  <c r="W133" i="1" s="1"/>
  <c r="T133" i="1"/>
  <c r="R133" i="1"/>
  <c r="K133" i="1"/>
  <c r="L133" i="1" s="1"/>
  <c r="AD132" i="1"/>
  <c r="V132" i="1"/>
  <c r="T132" i="1"/>
  <c r="R132" i="1"/>
  <c r="AE131" i="1"/>
  <c r="V131" i="1"/>
  <c r="AD131" i="1" s="1"/>
  <c r="U131" i="1"/>
  <c r="W131" i="1" s="1"/>
  <c r="T131" i="1"/>
  <c r="R131" i="1"/>
  <c r="K131" i="1"/>
  <c r="L131" i="1" s="1"/>
  <c r="AD130" i="1"/>
  <c r="V130" i="1"/>
  <c r="T130" i="1"/>
  <c r="R130" i="1"/>
  <c r="AE129" i="1"/>
  <c r="V129" i="1"/>
  <c r="AD129" i="1" s="1"/>
  <c r="U129" i="1"/>
  <c r="W129" i="1" s="1"/>
  <c r="T129" i="1"/>
  <c r="R129" i="1"/>
  <c r="K129" i="1"/>
  <c r="L129" i="1" s="1"/>
  <c r="AD128" i="1"/>
  <c r="V128" i="1"/>
  <c r="T128" i="1"/>
  <c r="R128" i="1"/>
  <c r="AE127" i="1"/>
  <c r="V127" i="1"/>
  <c r="AD127" i="1" s="1"/>
  <c r="U127" i="1"/>
  <c r="W127" i="1" s="1"/>
  <c r="T127" i="1"/>
  <c r="R127" i="1"/>
  <c r="K127" i="1"/>
  <c r="L127" i="1" s="1"/>
  <c r="AD126" i="1"/>
  <c r="AE126" i="1" s="1"/>
  <c r="W126" i="1"/>
  <c r="L126" i="1"/>
  <c r="V125" i="1"/>
  <c r="AD125" i="1" s="1"/>
  <c r="AE125" i="1" s="1"/>
  <c r="U125" i="1"/>
  <c r="W125" i="1" s="1"/>
  <c r="L125" i="1"/>
  <c r="W124" i="1"/>
  <c r="V124" i="1"/>
  <c r="AD124" i="1" s="1"/>
  <c r="AE124" i="1" s="1"/>
  <c r="U124" i="1"/>
  <c r="L124" i="1"/>
  <c r="AD123" i="1"/>
  <c r="AE123" i="1" s="1"/>
  <c r="V123" i="1"/>
  <c r="U123" i="1"/>
  <c r="W123" i="1" s="1"/>
  <c r="L123" i="1"/>
  <c r="AD122" i="1"/>
  <c r="AE122" i="1" s="1"/>
  <c r="W122" i="1"/>
  <c r="V122" i="1"/>
  <c r="U122" i="1"/>
  <c r="L122" i="1"/>
  <c r="AD121" i="1"/>
  <c r="V121" i="1"/>
  <c r="T121" i="1"/>
  <c r="R121" i="1"/>
  <c r="V120" i="1"/>
  <c r="AD120" i="1" s="1"/>
  <c r="AE120" i="1" s="1"/>
  <c r="U120" i="1"/>
  <c r="W120" i="1" s="1"/>
  <c r="T120" i="1"/>
  <c r="R120" i="1"/>
  <c r="K120" i="1"/>
  <c r="L120" i="1" s="1"/>
  <c r="AD119" i="1"/>
  <c r="V119" i="1"/>
  <c r="T119" i="1"/>
  <c r="R119" i="1"/>
  <c r="AE118" i="1"/>
  <c r="AD118" i="1"/>
  <c r="W118" i="1"/>
  <c r="V118" i="1"/>
  <c r="U118" i="1"/>
  <c r="T118" i="1"/>
  <c r="R118" i="1"/>
  <c r="K118" i="1"/>
  <c r="L118" i="1" s="1"/>
  <c r="AD117" i="1"/>
  <c r="AE117" i="1" s="1"/>
  <c r="U117" i="1"/>
  <c r="W117" i="1" s="1"/>
  <c r="L117" i="1"/>
  <c r="AE116" i="1"/>
  <c r="AD116" i="1"/>
  <c r="W116" i="1"/>
  <c r="U116" i="1"/>
  <c r="L116" i="1"/>
  <c r="AD115" i="1"/>
  <c r="AE115" i="1" s="1"/>
  <c r="U115" i="1"/>
  <c r="L115" i="1"/>
  <c r="AD114" i="1"/>
  <c r="AE114" i="1" s="1"/>
  <c r="U114" i="1"/>
  <c r="L114" i="1"/>
  <c r="U113" i="1"/>
  <c r="L113" i="1"/>
  <c r="AD112" i="1"/>
  <c r="V112" i="1"/>
  <c r="T112" i="1"/>
  <c r="R112" i="1"/>
  <c r="V111" i="1"/>
  <c r="AD111" i="1" s="1"/>
  <c r="AE111" i="1" s="1"/>
  <c r="U111" i="1"/>
  <c r="L111" i="1"/>
  <c r="U110" i="1"/>
  <c r="V110" i="1" s="1"/>
  <c r="AD110" i="1" s="1"/>
  <c r="AE110" i="1" s="1"/>
  <c r="L110" i="1"/>
  <c r="AE109" i="1"/>
  <c r="V109" i="1"/>
  <c r="AD109" i="1" s="1"/>
  <c r="U109" i="1"/>
  <c r="L109" i="1"/>
  <c r="AD108" i="1"/>
  <c r="AE108" i="1" s="1"/>
  <c r="U108" i="1"/>
  <c r="V108" i="1" s="1"/>
  <c r="L108" i="1"/>
  <c r="AE107" i="1"/>
  <c r="V107" i="1"/>
  <c r="AD107" i="1" s="1"/>
  <c r="U107" i="1"/>
  <c r="L107" i="1"/>
  <c r="AD106" i="1"/>
  <c r="AE106" i="1" s="1"/>
  <c r="V106" i="1"/>
  <c r="U106" i="1"/>
  <c r="L106" i="1"/>
  <c r="AE105" i="1"/>
  <c r="AD105" i="1"/>
  <c r="U105" i="1"/>
  <c r="L105" i="1"/>
  <c r="AD104" i="1"/>
  <c r="W104" i="1"/>
  <c r="L104" i="1"/>
  <c r="AE103" i="1"/>
  <c r="AD103" i="1"/>
  <c r="W103" i="1"/>
  <c r="U103" i="1"/>
  <c r="L103" i="1"/>
  <c r="AE102" i="1"/>
  <c r="AD102" i="1"/>
  <c r="U102" i="1"/>
  <c r="W102" i="1" s="1"/>
  <c r="L102" i="1"/>
  <c r="AE101" i="1"/>
  <c r="AD101" i="1"/>
  <c r="W101" i="1"/>
  <c r="U101" i="1"/>
  <c r="L101" i="1"/>
  <c r="L100" i="1"/>
  <c r="AE99" i="1"/>
  <c r="AD99" i="1"/>
  <c r="W99" i="1"/>
  <c r="U99" i="1"/>
  <c r="L99" i="1"/>
  <c r="V98" i="1"/>
  <c r="AD98" i="1" s="1"/>
  <c r="AE98" i="1" s="1"/>
  <c r="U98" i="1"/>
  <c r="W98" i="1" s="1"/>
  <c r="T98" i="1"/>
  <c r="R98" i="1"/>
  <c r="L98" i="1"/>
  <c r="K98" i="1"/>
  <c r="W97" i="1"/>
  <c r="V97" i="1"/>
  <c r="AD97" i="1" s="1"/>
  <c r="AE97" i="1" s="1"/>
  <c r="U97" i="1"/>
  <c r="T97" i="1"/>
  <c r="R97" i="1"/>
  <c r="L97" i="1"/>
  <c r="K97" i="1"/>
  <c r="AD96" i="1"/>
  <c r="V96" i="1"/>
  <c r="T96" i="1"/>
  <c r="AE96" i="1" s="1"/>
  <c r="R96" i="1"/>
  <c r="AE95" i="1"/>
  <c r="AD95" i="1"/>
  <c r="V95" i="1"/>
  <c r="U95" i="1"/>
  <c r="W95" i="1" s="1"/>
  <c r="T95" i="1"/>
  <c r="R95" i="1"/>
  <c r="K95" i="1"/>
  <c r="L95" i="1" s="1"/>
  <c r="V94" i="1"/>
  <c r="AD94" i="1" s="1"/>
  <c r="AE94" i="1" s="1"/>
  <c r="U94" i="1"/>
  <c r="W94" i="1" s="1"/>
  <c r="T94" i="1"/>
  <c r="R94" i="1"/>
  <c r="L94" i="1"/>
  <c r="K94" i="1"/>
  <c r="W93" i="1"/>
  <c r="V93" i="1"/>
  <c r="AD93" i="1" s="1"/>
  <c r="AE93" i="1" s="1"/>
  <c r="U93" i="1"/>
  <c r="T93" i="1"/>
  <c r="R93" i="1"/>
  <c r="L93" i="1"/>
  <c r="K93" i="1"/>
  <c r="AD92" i="1"/>
  <c r="V92" i="1"/>
  <c r="T92" i="1"/>
  <c r="AE92" i="1" s="1"/>
  <c r="R92" i="1"/>
  <c r="AE91" i="1"/>
  <c r="AD91" i="1"/>
  <c r="V91" i="1"/>
  <c r="U91" i="1"/>
  <c r="W91" i="1" s="1"/>
  <c r="T91" i="1"/>
  <c r="R91" i="1"/>
  <c r="K91" i="1"/>
  <c r="L91" i="1" s="1"/>
  <c r="V90" i="1"/>
  <c r="AD90" i="1" s="1"/>
  <c r="AE90" i="1" s="1"/>
  <c r="U90" i="1"/>
  <c r="W90" i="1" s="1"/>
  <c r="T90" i="1"/>
  <c r="R90" i="1"/>
  <c r="L90" i="1"/>
  <c r="K90" i="1"/>
  <c r="AD89" i="1"/>
  <c r="W89" i="1"/>
  <c r="L89" i="1"/>
  <c r="L88" i="1"/>
  <c r="AE87" i="1"/>
  <c r="AD87" i="1"/>
  <c r="W87" i="1"/>
  <c r="L87" i="1"/>
  <c r="AE86" i="1"/>
  <c r="AD86" i="1"/>
  <c r="W86" i="1"/>
  <c r="U86" i="1"/>
  <c r="L86" i="1"/>
  <c r="AD85" i="1"/>
  <c r="V85" i="1"/>
  <c r="T85" i="1"/>
  <c r="AE85" i="1" s="1"/>
  <c r="R85" i="1"/>
  <c r="AE84" i="1"/>
  <c r="AD84" i="1"/>
  <c r="V84" i="1"/>
  <c r="U84" i="1"/>
  <c r="W84" i="1" s="1"/>
  <c r="T84" i="1"/>
  <c r="R84" i="1"/>
  <c r="K84" i="1"/>
  <c r="L84" i="1" s="1"/>
  <c r="V83" i="1"/>
  <c r="AD83" i="1" s="1"/>
  <c r="AE83" i="1" s="1"/>
  <c r="U83" i="1"/>
  <c r="W83" i="1" s="1"/>
  <c r="T83" i="1"/>
  <c r="R83" i="1"/>
  <c r="L83" i="1"/>
  <c r="K83" i="1"/>
  <c r="W82" i="1"/>
  <c r="V82" i="1"/>
  <c r="AD82" i="1" s="1"/>
  <c r="AE82" i="1" s="1"/>
  <c r="U82" i="1"/>
  <c r="T82" i="1"/>
  <c r="R82" i="1"/>
  <c r="L82" i="1"/>
  <c r="K82" i="1"/>
  <c r="AD81" i="1"/>
  <c r="V81" i="1"/>
  <c r="T81" i="1"/>
  <c r="AE81" i="1" s="1"/>
  <c r="R81" i="1"/>
  <c r="AE80" i="1"/>
  <c r="AD80" i="1"/>
  <c r="V80" i="1"/>
  <c r="U80" i="1"/>
  <c r="W80" i="1" s="1"/>
  <c r="T80" i="1"/>
  <c r="R80" i="1"/>
  <c r="K80" i="1"/>
  <c r="L80" i="1" s="1"/>
  <c r="V79" i="1"/>
  <c r="AD79" i="1" s="1"/>
  <c r="AE79" i="1" s="1"/>
  <c r="U79" i="1"/>
  <c r="W79" i="1" s="1"/>
  <c r="T79" i="1"/>
  <c r="R79" i="1"/>
  <c r="L79" i="1"/>
  <c r="K79" i="1"/>
  <c r="W78" i="1"/>
  <c r="V78" i="1"/>
  <c r="AD78" i="1" s="1"/>
  <c r="AE78" i="1" s="1"/>
  <c r="U78" i="1"/>
  <c r="T78" i="1"/>
  <c r="R78" i="1"/>
  <c r="L78" i="1"/>
  <c r="K78" i="1"/>
  <c r="AD77" i="1"/>
  <c r="V77" i="1"/>
  <c r="T77" i="1"/>
  <c r="AE77" i="1" s="1"/>
  <c r="R77" i="1"/>
  <c r="AE76" i="1"/>
  <c r="AD76" i="1"/>
  <c r="V76" i="1"/>
  <c r="U76" i="1"/>
  <c r="W76" i="1" s="1"/>
  <c r="T76" i="1"/>
  <c r="R76" i="1"/>
  <c r="K76" i="1"/>
  <c r="L76" i="1" s="1"/>
  <c r="V75" i="1"/>
  <c r="AD75" i="1" s="1"/>
  <c r="AE75" i="1" s="1"/>
  <c r="U75" i="1"/>
  <c r="W75" i="1" s="1"/>
  <c r="T75" i="1"/>
  <c r="R75" i="1"/>
  <c r="L75" i="1"/>
  <c r="K75" i="1"/>
  <c r="W74" i="1"/>
  <c r="V74" i="1"/>
  <c r="AD74" i="1" s="1"/>
  <c r="AE74" i="1" s="1"/>
  <c r="U74" i="1"/>
  <c r="T74" i="1"/>
  <c r="R74" i="1"/>
  <c r="L74" i="1"/>
  <c r="K74" i="1"/>
  <c r="AD73" i="1"/>
  <c r="V73" i="1"/>
  <c r="T73" i="1"/>
  <c r="AE73" i="1" s="1"/>
  <c r="R73" i="1"/>
  <c r="AE72" i="1"/>
  <c r="AD72" i="1"/>
  <c r="U72" i="1"/>
  <c r="L72" i="1"/>
  <c r="AE71" i="1"/>
  <c r="AD71" i="1"/>
  <c r="W71" i="1"/>
  <c r="U71" i="1"/>
  <c r="L71" i="1"/>
  <c r="V70" i="1"/>
  <c r="AD70" i="1" s="1"/>
  <c r="AE70" i="1" s="1"/>
  <c r="U70" i="1"/>
  <c r="W70" i="1" s="1"/>
  <c r="T70" i="1"/>
  <c r="R70" i="1"/>
  <c r="L70" i="1"/>
  <c r="K70" i="1"/>
  <c r="W69" i="1"/>
  <c r="V69" i="1"/>
  <c r="AD69" i="1" s="1"/>
  <c r="AE69" i="1" s="1"/>
  <c r="U69" i="1"/>
  <c r="T69" i="1"/>
  <c r="R69" i="1"/>
  <c r="L69" i="1"/>
  <c r="K69" i="1"/>
  <c r="AD68" i="1"/>
  <c r="V68" i="1"/>
  <c r="T68" i="1"/>
  <c r="AE68" i="1" s="1"/>
  <c r="R68" i="1"/>
  <c r="AE67" i="1"/>
  <c r="AD67" i="1"/>
  <c r="W67" i="1"/>
  <c r="U67" i="1"/>
  <c r="L67" i="1"/>
  <c r="AE66" i="1"/>
  <c r="AD66" i="1"/>
  <c r="U66" i="1"/>
  <c r="L66" i="1"/>
  <c r="AE65" i="1"/>
  <c r="AD65" i="1"/>
  <c r="U65" i="1"/>
  <c r="W65" i="1" s="1"/>
  <c r="L65" i="1"/>
  <c r="AE64" i="1"/>
  <c r="AD64" i="1"/>
  <c r="W64" i="1"/>
  <c r="U64" i="1"/>
  <c r="L64" i="1"/>
  <c r="AD63" i="1"/>
  <c r="AE63" i="1" s="1"/>
  <c r="W63" i="1"/>
  <c r="U63" i="1"/>
  <c r="L63" i="1"/>
  <c r="AE62" i="1"/>
  <c r="AD62" i="1"/>
  <c r="W62" i="1"/>
  <c r="U62" i="1"/>
  <c r="L62" i="1"/>
  <c r="AE61" i="1"/>
  <c r="AD61" i="1"/>
  <c r="U61" i="1"/>
  <c r="W61" i="1" s="1"/>
  <c r="L61" i="1"/>
  <c r="AE60" i="1"/>
  <c r="AD60" i="1"/>
  <c r="W60" i="1"/>
  <c r="U60" i="1"/>
  <c r="L60" i="1"/>
  <c r="AD59" i="1"/>
  <c r="AE59" i="1" s="1"/>
  <c r="W59" i="1"/>
  <c r="U59" i="1"/>
  <c r="L59" i="1"/>
  <c r="AE58" i="1"/>
  <c r="AD58" i="1"/>
  <c r="W58" i="1"/>
  <c r="U58" i="1"/>
  <c r="L58" i="1"/>
  <c r="AE57" i="1"/>
  <c r="AD57" i="1"/>
  <c r="U57" i="1"/>
  <c r="L57" i="1"/>
  <c r="V56" i="1"/>
  <c r="AD56" i="1" s="1"/>
  <c r="AE56" i="1" s="1"/>
  <c r="U56" i="1"/>
  <c r="W56" i="1" s="1"/>
  <c r="T56" i="1"/>
  <c r="R56" i="1"/>
  <c r="L56" i="1"/>
  <c r="K56" i="1"/>
  <c r="W55" i="1"/>
  <c r="V55" i="1"/>
  <c r="AD55" i="1" s="1"/>
  <c r="AE55" i="1" s="1"/>
  <c r="U55" i="1"/>
  <c r="T55" i="1"/>
  <c r="R55" i="1"/>
  <c r="K55" i="1"/>
  <c r="L55" i="1" s="1"/>
  <c r="AD54" i="1"/>
  <c r="V54" i="1"/>
  <c r="T54" i="1"/>
  <c r="AE54" i="1" s="1"/>
  <c r="R54" i="1"/>
  <c r="AE53" i="1"/>
  <c r="AD53" i="1"/>
  <c r="V53" i="1"/>
  <c r="U53" i="1"/>
  <c r="W53" i="1" s="1"/>
  <c r="T53" i="1"/>
  <c r="R53" i="1"/>
  <c r="K53" i="1"/>
  <c r="L53" i="1" s="1"/>
  <c r="V52" i="1"/>
  <c r="AD52" i="1" s="1"/>
  <c r="T52" i="1"/>
  <c r="R52" i="1"/>
  <c r="W51" i="1"/>
  <c r="V51" i="1"/>
  <c r="AD51" i="1" s="1"/>
  <c r="AE51" i="1" s="1"/>
  <c r="U51" i="1"/>
  <c r="T51" i="1"/>
  <c r="R51" i="1"/>
  <c r="K51" i="1"/>
  <c r="L51" i="1" s="1"/>
  <c r="AD50" i="1"/>
  <c r="V50" i="1"/>
  <c r="T50" i="1"/>
  <c r="R50" i="1"/>
  <c r="AE49" i="1"/>
  <c r="AD49" i="1"/>
  <c r="V49" i="1"/>
  <c r="U49" i="1"/>
  <c r="W49" i="1" s="1"/>
  <c r="T49" i="1"/>
  <c r="R49" i="1"/>
  <c r="K49" i="1"/>
  <c r="L49" i="1" s="1"/>
  <c r="V48" i="1"/>
  <c r="AD48" i="1" s="1"/>
  <c r="T48" i="1"/>
  <c r="R48" i="1"/>
  <c r="W47" i="1"/>
  <c r="V47" i="1"/>
  <c r="AD47" i="1" s="1"/>
  <c r="AE47" i="1" s="1"/>
  <c r="U47" i="1"/>
  <c r="T47" i="1"/>
  <c r="R47" i="1"/>
  <c r="K47" i="1"/>
  <c r="L47" i="1" s="1"/>
  <c r="AD46" i="1"/>
  <c r="V46" i="1"/>
  <c r="T46" i="1"/>
  <c r="R46" i="1"/>
  <c r="AE45" i="1"/>
  <c r="AD45" i="1"/>
  <c r="V45" i="1"/>
  <c r="U45" i="1"/>
  <c r="W45" i="1" s="1"/>
  <c r="T45" i="1"/>
  <c r="R45" i="1"/>
  <c r="K45" i="1"/>
  <c r="L45" i="1" s="1"/>
  <c r="V44" i="1"/>
  <c r="AD44" i="1" s="1"/>
  <c r="T44" i="1"/>
  <c r="AE44" i="1" s="1"/>
  <c r="R44" i="1"/>
  <c r="W43" i="1"/>
  <c r="V43" i="1"/>
  <c r="AD43" i="1" s="1"/>
  <c r="AE43" i="1" s="1"/>
  <c r="U43" i="1"/>
  <c r="T43" i="1"/>
  <c r="R43" i="1"/>
  <c r="K43" i="1"/>
  <c r="L43" i="1" s="1"/>
  <c r="AD42" i="1"/>
  <c r="V42" i="1"/>
  <c r="T42" i="1"/>
  <c r="R42" i="1"/>
  <c r="AE41" i="1"/>
  <c r="AD41" i="1"/>
  <c r="U41" i="1"/>
  <c r="L41" i="1"/>
  <c r="AE40" i="1"/>
  <c r="AD40" i="1"/>
  <c r="U40" i="1"/>
  <c r="L40" i="1"/>
  <c r="AE39" i="1"/>
  <c r="AD39" i="1"/>
  <c r="W39" i="1"/>
  <c r="U39" i="1"/>
  <c r="L39" i="1"/>
  <c r="AD38" i="1"/>
  <c r="AE38" i="1" s="1"/>
  <c r="W38" i="1"/>
  <c r="L38" i="1"/>
  <c r="AD37" i="1"/>
  <c r="AE37" i="1" s="1"/>
  <c r="U37" i="1"/>
  <c r="L37" i="1"/>
  <c r="AD35" i="1"/>
  <c r="AE35" i="1" s="1"/>
  <c r="U35" i="1"/>
  <c r="W35" i="1" s="1"/>
  <c r="L35" i="1"/>
  <c r="AE34" i="1"/>
  <c r="AD34" i="1"/>
  <c r="W34" i="1"/>
  <c r="U34" i="1"/>
  <c r="L34" i="1"/>
  <c r="AD33" i="1"/>
  <c r="AE33" i="1" s="1"/>
  <c r="U33" i="1"/>
  <c r="W33" i="1" s="1"/>
  <c r="L33" i="1"/>
  <c r="AE32" i="1"/>
  <c r="AD32" i="1"/>
  <c r="W32" i="1"/>
  <c r="U32" i="1"/>
  <c r="L32" i="1"/>
  <c r="AD31" i="1"/>
  <c r="AE31" i="1" s="1"/>
  <c r="U31" i="1"/>
  <c r="W31" i="1" s="1"/>
  <c r="L31" i="1"/>
  <c r="AE30" i="1"/>
  <c r="AD30" i="1"/>
  <c r="W30" i="1"/>
  <c r="U30" i="1"/>
  <c r="L30" i="1"/>
  <c r="AD29" i="1"/>
  <c r="AE29" i="1" s="1"/>
  <c r="U29" i="1"/>
  <c r="W29" i="1" s="1"/>
  <c r="L29" i="1"/>
  <c r="AE28" i="1"/>
  <c r="AD28" i="1"/>
  <c r="V28" i="1"/>
  <c r="U28" i="1"/>
  <c r="W28" i="1" s="1"/>
  <c r="T28" i="1"/>
  <c r="R28" i="1"/>
  <c r="K28" i="1"/>
  <c r="L28" i="1" s="1"/>
  <c r="V27" i="1"/>
  <c r="AD27" i="1" s="1"/>
  <c r="T27" i="1"/>
  <c r="R27" i="1"/>
  <c r="W26" i="1"/>
  <c r="V26" i="1"/>
  <c r="AD26" i="1" s="1"/>
  <c r="AE26" i="1" s="1"/>
  <c r="U26" i="1"/>
  <c r="T26" i="1"/>
  <c r="R26" i="1"/>
  <c r="K26" i="1"/>
  <c r="L26" i="1" s="1"/>
  <c r="AD25" i="1"/>
  <c r="V25" i="1"/>
  <c r="T25" i="1"/>
  <c r="R25" i="1"/>
  <c r="AE24" i="1"/>
  <c r="AD24" i="1"/>
  <c r="V24" i="1"/>
  <c r="U24" i="1"/>
  <c r="W24" i="1" s="1"/>
  <c r="T24" i="1"/>
  <c r="R24" i="1"/>
  <c r="K24" i="1"/>
  <c r="L24" i="1" s="1"/>
  <c r="V23" i="1"/>
  <c r="AD23" i="1" s="1"/>
  <c r="T23" i="1"/>
  <c r="AE23" i="1" s="1"/>
  <c r="R23" i="1"/>
  <c r="W22" i="1"/>
  <c r="V22" i="1"/>
  <c r="AD22" i="1" s="1"/>
  <c r="AE22" i="1" s="1"/>
  <c r="U22" i="1"/>
  <c r="T22" i="1"/>
  <c r="R22" i="1"/>
  <c r="K22" i="1"/>
  <c r="L22" i="1" s="1"/>
  <c r="AD21" i="1"/>
  <c r="V21" i="1"/>
  <c r="T21" i="1"/>
  <c r="R21" i="1"/>
  <c r="AE20" i="1"/>
  <c r="AD20" i="1"/>
  <c r="V20" i="1"/>
  <c r="U20" i="1"/>
  <c r="W20" i="1" s="1"/>
  <c r="T20" i="1"/>
  <c r="R20" i="1"/>
  <c r="K20" i="1"/>
  <c r="L20" i="1" s="1"/>
  <c r="V19" i="1"/>
  <c r="AD19" i="1" s="1"/>
  <c r="T19" i="1"/>
  <c r="R19" i="1"/>
  <c r="W18" i="1"/>
  <c r="V18" i="1"/>
  <c r="AD18" i="1" s="1"/>
  <c r="AE18" i="1" s="1"/>
  <c r="U18" i="1"/>
  <c r="T18" i="1"/>
  <c r="R18" i="1"/>
  <c r="K18" i="1"/>
  <c r="L18" i="1" s="1"/>
  <c r="AD17" i="1"/>
  <c r="V17" i="1"/>
  <c r="T17" i="1"/>
  <c r="R17" i="1"/>
  <c r="AE16" i="1"/>
  <c r="AD16" i="1"/>
  <c r="V16" i="1"/>
  <c r="U16" i="1"/>
  <c r="W16" i="1" s="1"/>
  <c r="T16" i="1"/>
  <c r="R16" i="1"/>
  <c r="K16" i="1"/>
  <c r="L16" i="1" s="1"/>
  <c r="V15" i="1"/>
  <c r="AD15" i="1" s="1"/>
  <c r="T15" i="1"/>
  <c r="AE15" i="1" s="1"/>
  <c r="R15" i="1"/>
  <c r="W14" i="1"/>
  <c r="V14" i="1"/>
  <c r="AD14" i="1" s="1"/>
  <c r="AE14" i="1" s="1"/>
  <c r="U14" i="1"/>
  <c r="T14" i="1"/>
  <c r="R14" i="1"/>
  <c r="K14" i="1"/>
  <c r="L14" i="1" s="1"/>
  <c r="AD13" i="1"/>
  <c r="V13" i="1"/>
  <c r="T13" i="1"/>
  <c r="R13" i="1"/>
  <c r="AE12" i="1"/>
  <c r="AD12" i="1"/>
  <c r="V12" i="1"/>
  <c r="U12" i="1"/>
  <c r="W12" i="1" s="1"/>
  <c r="T12" i="1"/>
  <c r="R12" i="1"/>
  <c r="K12" i="1"/>
  <c r="L12" i="1" s="1"/>
  <c r="V11" i="1"/>
  <c r="AD11" i="1" s="1"/>
  <c r="T11" i="1"/>
  <c r="R11" i="1"/>
  <c r="W10" i="1"/>
  <c r="V10" i="1"/>
  <c r="AD10" i="1" s="1"/>
  <c r="AE10" i="1" s="1"/>
  <c r="U10" i="1"/>
  <c r="T10" i="1"/>
  <c r="R10" i="1"/>
  <c r="K10" i="1"/>
  <c r="L10" i="1" s="1"/>
  <c r="AD9" i="1"/>
  <c r="V9" i="1"/>
  <c r="T9" i="1"/>
  <c r="R9" i="1"/>
  <c r="AE8" i="1"/>
  <c r="AD8" i="1"/>
  <c r="V8" i="1"/>
  <c r="U8" i="1"/>
  <c r="W8" i="1" s="1"/>
  <c r="T8" i="1"/>
  <c r="R8" i="1"/>
  <c r="K8" i="1"/>
  <c r="L8" i="1" s="1"/>
  <c r="V7" i="1"/>
  <c r="AD7" i="1" s="1"/>
  <c r="T7" i="1"/>
  <c r="AE7" i="1" s="1"/>
  <c r="R7" i="1"/>
  <c r="AE6" i="1"/>
  <c r="AD6" i="1"/>
  <c r="W6" i="1"/>
  <c r="U6" i="1"/>
  <c r="L6" i="1"/>
  <c r="AD5" i="1"/>
  <c r="V5" i="1"/>
  <c r="T5" i="1"/>
  <c r="R5" i="1"/>
  <c r="AE4" i="1"/>
  <c r="AD4" i="1"/>
  <c r="W1" i="1"/>
  <c r="N402" i="1" s="1"/>
  <c r="U1" i="1"/>
  <c r="J1" i="1"/>
  <c r="J402" i="1" s="1"/>
  <c r="AE25" i="1" l="1"/>
  <c r="U25" i="1"/>
  <c r="W25" i="1" s="1"/>
  <c r="K25" i="1"/>
  <c r="L25" i="1" s="1"/>
  <c r="AE13" i="1"/>
  <c r="U13" i="1"/>
  <c r="W13" i="1" s="1"/>
  <c r="K13" i="1"/>
  <c r="L13" i="1" s="1"/>
  <c r="AE19" i="1"/>
  <c r="AE50" i="1"/>
  <c r="U50" i="1"/>
  <c r="W50" i="1" s="1"/>
  <c r="K50" i="1"/>
  <c r="L50" i="1" s="1"/>
  <c r="AE5" i="1"/>
  <c r="U5" i="1"/>
  <c r="W5" i="1" s="1"/>
  <c r="K5" i="1"/>
  <c r="L5" i="1" s="1"/>
  <c r="AE17" i="1"/>
  <c r="U17" i="1"/>
  <c r="W17" i="1" s="1"/>
  <c r="K17" i="1"/>
  <c r="L17" i="1" s="1"/>
  <c r="AE9" i="1"/>
  <c r="U9" i="1"/>
  <c r="W9" i="1" s="1"/>
  <c r="K9" i="1"/>
  <c r="L9" i="1" s="1"/>
  <c r="AE46" i="1"/>
  <c r="U46" i="1"/>
  <c r="W46" i="1" s="1"/>
  <c r="K46" i="1"/>
  <c r="L46" i="1" s="1"/>
  <c r="AE11" i="1"/>
  <c r="AE21" i="1"/>
  <c r="U21" i="1"/>
  <c r="W21" i="1" s="1"/>
  <c r="K21" i="1"/>
  <c r="L21" i="1" s="1"/>
  <c r="AE27" i="1"/>
  <c r="AE42" i="1"/>
  <c r="U42" i="1"/>
  <c r="W42" i="1" s="1"/>
  <c r="K42" i="1"/>
  <c r="L42" i="1" s="1"/>
  <c r="AE48" i="1"/>
  <c r="AE52" i="1"/>
  <c r="AE138" i="1"/>
  <c r="U138" i="1"/>
  <c r="W138" i="1" s="1"/>
  <c r="K138" i="1"/>
  <c r="L138" i="1" s="1"/>
  <c r="AE201" i="1"/>
  <c r="U201" i="1"/>
  <c r="W201" i="1" s="1"/>
  <c r="K201" i="1"/>
  <c r="L201" i="1" s="1"/>
  <c r="AE209" i="1"/>
  <c r="U209" i="1"/>
  <c r="W209" i="1" s="1"/>
  <c r="K209" i="1"/>
  <c r="L209" i="1" s="1"/>
  <c r="AE266" i="1"/>
  <c r="U266" i="1"/>
  <c r="W266" i="1" s="1"/>
  <c r="K266" i="1"/>
  <c r="L266" i="1" s="1"/>
  <c r="K54" i="1"/>
  <c r="L54" i="1" s="1"/>
  <c r="U54" i="1"/>
  <c r="W54" i="1" s="1"/>
  <c r="K68" i="1"/>
  <c r="L68" i="1" s="1"/>
  <c r="U68" i="1"/>
  <c r="W68" i="1" s="1"/>
  <c r="K73" i="1"/>
  <c r="L73" i="1" s="1"/>
  <c r="U73" i="1"/>
  <c r="W73" i="1" s="1"/>
  <c r="K77" i="1"/>
  <c r="L77" i="1" s="1"/>
  <c r="U77" i="1"/>
  <c r="W77" i="1" s="1"/>
  <c r="K81" i="1"/>
  <c r="L81" i="1" s="1"/>
  <c r="U81" i="1"/>
  <c r="W81" i="1" s="1"/>
  <c r="K85" i="1"/>
  <c r="L85" i="1" s="1"/>
  <c r="U85" i="1"/>
  <c r="W85" i="1" s="1"/>
  <c r="K92" i="1"/>
  <c r="L92" i="1" s="1"/>
  <c r="U92" i="1"/>
  <c r="W92" i="1" s="1"/>
  <c r="K96" i="1"/>
  <c r="L96" i="1" s="1"/>
  <c r="U96" i="1"/>
  <c r="W96" i="1" s="1"/>
  <c r="AE119" i="1"/>
  <c r="U119" i="1"/>
  <c r="W119" i="1" s="1"/>
  <c r="K119" i="1"/>
  <c r="L119" i="1" s="1"/>
  <c r="AE121" i="1"/>
  <c r="U121" i="1"/>
  <c r="W121" i="1" s="1"/>
  <c r="K121" i="1"/>
  <c r="L121" i="1" s="1"/>
  <c r="AE152" i="1"/>
  <c r="U152" i="1"/>
  <c r="W152" i="1" s="1"/>
  <c r="K152" i="1"/>
  <c r="L152" i="1" s="1"/>
  <c r="AE154" i="1"/>
  <c r="U154" i="1"/>
  <c r="W154" i="1" s="1"/>
  <c r="K154" i="1"/>
  <c r="L154" i="1" s="1"/>
  <c r="AE190" i="1"/>
  <c r="AE197" i="1"/>
  <c r="U197" i="1"/>
  <c r="W197" i="1" s="1"/>
  <c r="K197" i="1"/>
  <c r="L197" i="1" s="1"/>
  <c r="W203" i="1"/>
  <c r="AE206" i="1"/>
  <c r="W227" i="1"/>
  <c r="AE234" i="1"/>
  <c r="AE150" i="1"/>
  <c r="U150" i="1"/>
  <c r="W150" i="1" s="1"/>
  <c r="K150" i="1"/>
  <c r="L150" i="1" s="1"/>
  <c r="AE128" i="1"/>
  <c r="U128" i="1"/>
  <c r="W128" i="1" s="1"/>
  <c r="K128" i="1"/>
  <c r="L128" i="1" s="1"/>
  <c r="AE130" i="1"/>
  <c r="U130" i="1"/>
  <c r="W130" i="1" s="1"/>
  <c r="K130" i="1"/>
  <c r="L130" i="1" s="1"/>
  <c r="AE132" i="1"/>
  <c r="U132" i="1"/>
  <c r="W132" i="1" s="1"/>
  <c r="K132" i="1"/>
  <c r="L132" i="1" s="1"/>
  <c r="AE141" i="1"/>
  <c r="U141" i="1"/>
  <c r="W141" i="1" s="1"/>
  <c r="K141" i="1"/>
  <c r="L141" i="1" s="1"/>
  <c r="AE143" i="1"/>
  <c r="U143" i="1"/>
  <c r="W143" i="1" s="1"/>
  <c r="K143" i="1"/>
  <c r="L143" i="1" s="1"/>
  <c r="AE156" i="1"/>
  <c r="U156" i="1"/>
  <c r="W156" i="1" s="1"/>
  <c r="K156" i="1"/>
  <c r="L156" i="1" s="1"/>
  <c r="AE193" i="1"/>
  <c r="U193" i="1"/>
  <c r="W193" i="1" s="1"/>
  <c r="K193" i="1"/>
  <c r="L193" i="1" s="1"/>
  <c r="W199" i="1"/>
  <c r="AE202" i="1"/>
  <c r="AE226" i="1"/>
  <c r="AE112" i="1"/>
  <c r="U112" i="1"/>
  <c r="W112" i="1" s="1"/>
  <c r="K112" i="1"/>
  <c r="L112" i="1" s="1"/>
  <c r="AE225" i="1"/>
  <c r="U225" i="1"/>
  <c r="W225" i="1" s="1"/>
  <c r="K225" i="1"/>
  <c r="L225" i="1" s="1"/>
  <c r="K7" i="1"/>
  <c r="L7" i="1" s="1"/>
  <c r="U7" i="1"/>
  <c r="W7" i="1" s="1"/>
  <c r="K11" i="1"/>
  <c r="L11" i="1" s="1"/>
  <c r="U11" i="1"/>
  <c r="W11" i="1" s="1"/>
  <c r="K15" i="1"/>
  <c r="L15" i="1" s="1"/>
  <c r="U15" i="1"/>
  <c r="W15" i="1" s="1"/>
  <c r="K19" i="1"/>
  <c r="L19" i="1" s="1"/>
  <c r="U19" i="1"/>
  <c r="W19" i="1" s="1"/>
  <c r="K23" i="1"/>
  <c r="L23" i="1" s="1"/>
  <c r="U23" i="1"/>
  <c r="W23" i="1" s="1"/>
  <c r="K27" i="1"/>
  <c r="L27" i="1" s="1"/>
  <c r="U27" i="1"/>
  <c r="W27" i="1" s="1"/>
  <c r="K44" i="1"/>
  <c r="L44" i="1" s="1"/>
  <c r="U44" i="1"/>
  <c r="W44" i="1" s="1"/>
  <c r="K48" i="1"/>
  <c r="L48" i="1" s="1"/>
  <c r="U48" i="1"/>
  <c r="W48" i="1" s="1"/>
  <c r="K52" i="1"/>
  <c r="L52" i="1" s="1"/>
  <c r="U52" i="1"/>
  <c r="W52" i="1" s="1"/>
  <c r="AE134" i="1"/>
  <c r="U134" i="1"/>
  <c r="W134" i="1" s="1"/>
  <c r="K134" i="1"/>
  <c r="L134" i="1" s="1"/>
  <c r="AE136" i="1"/>
  <c r="U136" i="1"/>
  <c r="W136" i="1" s="1"/>
  <c r="K136" i="1"/>
  <c r="L136" i="1" s="1"/>
  <c r="AE145" i="1"/>
  <c r="U145" i="1"/>
  <c r="W145" i="1" s="1"/>
  <c r="K145" i="1"/>
  <c r="L145" i="1" s="1"/>
  <c r="AE147" i="1"/>
  <c r="U147" i="1"/>
  <c r="W147" i="1" s="1"/>
  <c r="K147" i="1"/>
  <c r="L147" i="1" s="1"/>
  <c r="W195" i="1"/>
  <c r="AE198" i="1"/>
  <c r="AE205" i="1"/>
  <c r="U205" i="1"/>
  <c r="W205" i="1" s="1"/>
  <c r="K205" i="1"/>
  <c r="L205" i="1" s="1"/>
  <c r="AE207" i="1"/>
  <c r="U229" i="1"/>
  <c r="W229" i="1" s="1"/>
  <c r="K229" i="1"/>
  <c r="L229" i="1" s="1"/>
  <c r="U230" i="1"/>
  <c r="W230" i="1" s="1"/>
  <c r="K230" i="1"/>
  <c r="L230" i="1" s="1"/>
  <c r="AE235" i="1"/>
  <c r="AE262" i="1"/>
  <c r="U262" i="1"/>
  <c r="W262" i="1" s="1"/>
  <c r="K262" i="1"/>
  <c r="L262" i="1" s="1"/>
  <c r="AE272" i="1"/>
  <c r="AE278" i="1"/>
  <c r="U278" i="1"/>
  <c r="W278" i="1" s="1"/>
  <c r="K278" i="1"/>
  <c r="L278" i="1" s="1"/>
  <c r="K190" i="1"/>
  <c r="L190" i="1" s="1"/>
  <c r="U190" i="1"/>
  <c r="W190" i="1" s="1"/>
  <c r="U194" i="1"/>
  <c r="W194" i="1" s="1"/>
  <c r="U198" i="1"/>
  <c r="W198" i="1" s="1"/>
  <c r="U202" i="1"/>
  <c r="W202" i="1" s="1"/>
  <c r="U206" i="1"/>
  <c r="W206" i="1" s="1"/>
  <c r="U226" i="1"/>
  <c r="W226" i="1" s="1"/>
  <c r="AE258" i="1"/>
  <c r="U258" i="1"/>
  <c r="W258" i="1" s="1"/>
  <c r="K258" i="1"/>
  <c r="L258" i="1" s="1"/>
  <c r="AE268" i="1"/>
  <c r="AE274" i="1"/>
  <c r="U274" i="1"/>
  <c r="W274" i="1" s="1"/>
  <c r="K274" i="1"/>
  <c r="L274" i="1" s="1"/>
  <c r="U207" i="1"/>
  <c r="W207" i="1" s="1"/>
  <c r="AE232" i="1"/>
  <c r="U232" i="1"/>
  <c r="W232" i="1" s="1"/>
  <c r="K232" i="1"/>
  <c r="L232" i="1" s="1"/>
  <c r="W234" i="1"/>
  <c r="AE264" i="1"/>
  <c r="AE270" i="1"/>
  <c r="U270" i="1"/>
  <c r="W270" i="1" s="1"/>
  <c r="K270" i="1"/>
  <c r="L270" i="1" s="1"/>
  <c r="AE290" i="1"/>
  <c r="AE294" i="1"/>
  <c r="AE298" i="1"/>
  <c r="AE302" i="1"/>
  <c r="AE318" i="1"/>
  <c r="K259" i="1"/>
  <c r="L259" i="1" s="1"/>
  <c r="U259" i="1"/>
  <c r="W259" i="1" s="1"/>
  <c r="K263" i="1"/>
  <c r="L263" i="1" s="1"/>
  <c r="U263" i="1"/>
  <c r="W263" i="1" s="1"/>
  <c r="K267" i="1"/>
  <c r="L267" i="1" s="1"/>
  <c r="U267" i="1"/>
  <c r="W267" i="1" s="1"/>
  <c r="K271" i="1"/>
  <c r="L271" i="1" s="1"/>
  <c r="U271" i="1"/>
  <c r="W271" i="1" s="1"/>
  <c r="K275" i="1"/>
  <c r="L275" i="1" s="1"/>
  <c r="U275" i="1"/>
  <c r="W275" i="1" s="1"/>
  <c r="K279" i="1"/>
  <c r="L279" i="1" s="1"/>
  <c r="U279" i="1"/>
  <c r="W279" i="1" s="1"/>
  <c r="K286" i="1"/>
  <c r="L286" i="1" s="1"/>
  <c r="U286" i="1"/>
  <c r="W286" i="1" s="1"/>
  <c r="K289" i="1"/>
  <c r="L289" i="1" s="1"/>
  <c r="U289" i="1"/>
  <c r="W289" i="1" s="1"/>
  <c r="K293" i="1"/>
  <c r="L293" i="1" s="1"/>
  <c r="U293" i="1"/>
  <c r="W293" i="1" s="1"/>
  <c r="K297" i="1"/>
  <c r="L297" i="1" s="1"/>
  <c r="U297" i="1"/>
  <c r="W297" i="1" s="1"/>
  <c r="K301" i="1"/>
  <c r="L301" i="1" s="1"/>
  <c r="U301" i="1"/>
  <c r="W301" i="1" s="1"/>
  <c r="K305" i="1"/>
  <c r="L305" i="1" s="1"/>
  <c r="U305" i="1"/>
  <c r="W305" i="1" s="1"/>
  <c r="K260" i="1"/>
  <c r="L260" i="1" s="1"/>
  <c r="U260" i="1"/>
  <c r="W260" i="1" s="1"/>
  <c r="K264" i="1"/>
  <c r="L264" i="1" s="1"/>
  <c r="U264" i="1"/>
  <c r="W264" i="1" s="1"/>
  <c r="K268" i="1"/>
  <c r="L268" i="1" s="1"/>
  <c r="U268" i="1"/>
  <c r="W268" i="1" s="1"/>
  <c r="K272" i="1"/>
  <c r="L272" i="1" s="1"/>
  <c r="U272" i="1"/>
  <c r="W272" i="1" s="1"/>
  <c r="K276" i="1"/>
  <c r="L276" i="1" s="1"/>
  <c r="U276" i="1"/>
  <c r="W276" i="1" s="1"/>
  <c r="K290" i="1"/>
  <c r="L290" i="1" s="1"/>
  <c r="U290" i="1"/>
  <c r="W290" i="1" s="1"/>
  <c r="K294" i="1"/>
  <c r="L294" i="1" s="1"/>
  <c r="U294" i="1"/>
  <c r="W294" i="1" s="1"/>
  <c r="K298" i="1"/>
  <c r="L298" i="1" s="1"/>
  <c r="U298" i="1"/>
  <c r="W298" i="1" s="1"/>
  <c r="K302" i="1"/>
  <c r="L302" i="1" s="1"/>
  <c r="U302" i="1"/>
  <c r="W302" i="1" s="1"/>
  <c r="K318" i="1"/>
  <c r="L318" i="1" s="1"/>
  <c r="U318" i="1"/>
  <c r="W318" i="1" s="1"/>
  <c r="K288" i="1"/>
  <c r="L288" i="1" s="1"/>
  <c r="U288" i="1"/>
  <c r="W288" i="1" s="1"/>
  <c r="L1" i="1" l="1"/>
  <c r="L402" i="1" s="1"/>
</calcChain>
</file>

<file path=xl/sharedStrings.xml><?xml version="1.0" encoding="utf-8"?>
<sst xmlns="http://schemas.openxmlformats.org/spreadsheetml/2006/main" count="2553" uniqueCount="486">
  <si>
    <t>Commande</t>
  </si>
  <si>
    <t>Réception</t>
  </si>
  <si>
    <t>Facture</t>
  </si>
  <si>
    <t>BON DE COMMANDE</t>
  </si>
  <si>
    <t xml:space="preserve">FACTURE </t>
  </si>
  <si>
    <t>FRS</t>
  </si>
  <si>
    <t>Date</t>
  </si>
  <si>
    <t>N°</t>
  </si>
  <si>
    <t>Désignation</t>
  </si>
  <si>
    <t>Qté/kg</t>
  </si>
  <si>
    <t>PU</t>
  </si>
  <si>
    <t xml:space="preserve"> HT MAD</t>
  </si>
  <si>
    <t>PU/€</t>
  </si>
  <si>
    <t>EUROS</t>
  </si>
  <si>
    <t>Taux</t>
  </si>
  <si>
    <t>PU/MAD</t>
  </si>
  <si>
    <t>HT</t>
  </si>
  <si>
    <t>TRNSP OU TVA</t>
  </si>
  <si>
    <t>TTC</t>
  </si>
  <si>
    <t>Décharge</t>
  </si>
  <si>
    <t>transport</t>
  </si>
  <si>
    <t>Echange</t>
  </si>
  <si>
    <t>Transit</t>
  </si>
  <si>
    <t>Surestaries</t>
  </si>
  <si>
    <t>Mgazinage</t>
  </si>
  <si>
    <t>IMPORT</t>
  </si>
  <si>
    <t>NOVAKEM</t>
  </si>
  <si>
    <t>IM016-24</t>
  </si>
  <si>
    <t>NOVADECAL</t>
  </si>
  <si>
    <t>001/25</t>
  </si>
  <si>
    <t>76/E</t>
  </si>
  <si>
    <t>LOCAL</t>
  </si>
  <si>
    <t xml:space="preserve">AGOUZAL </t>
  </si>
  <si>
    <t>EAU DE JAVIL</t>
  </si>
  <si>
    <t>002/25</t>
  </si>
  <si>
    <t>EAUX DE JAVEL</t>
  </si>
  <si>
    <t>FAC25519</t>
  </si>
  <si>
    <t>CLORITO DI SODIO</t>
  </si>
  <si>
    <t>003/25</t>
  </si>
  <si>
    <t>77/E</t>
  </si>
  <si>
    <t>NOVASOAP SE</t>
  </si>
  <si>
    <t>NOVACRIL 34</t>
  </si>
  <si>
    <t>NOVACRIL 9146</t>
  </si>
  <si>
    <t>NOVATEN BA</t>
  </si>
  <si>
    <t>NOVALIKER 4BB</t>
  </si>
  <si>
    <t>NOVALIKER G80</t>
  </si>
  <si>
    <t>NOVALIKER IN</t>
  </si>
  <si>
    <t xml:space="preserve">NOVAKEM </t>
  </si>
  <si>
    <t>NOVAOXID MOS</t>
  </si>
  <si>
    <t>004/25</t>
  </si>
  <si>
    <t>81/E</t>
  </si>
  <si>
    <t>IM016-25</t>
  </si>
  <si>
    <t>NOVAZIM R</t>
  </si>
  <si>
    <t>IM016-26</t>
  </si>
  <si>
    <t>NOVATAN ING</t>
  </si>
  <si>
    <t>IM016-27</t>
  </si>
  <si>
    <t>NOVATEN M</t>
  </si>
  <si>
    <t>IM016-28</t>
  </si>
  <si>
    <t xml:space="preserve">IPOSOLFITO DI SODIO </t>
  </si>
  <si>
    <t>IM016-29</t>
  </si>
  <si>
    <t>NOVADERM NERO LG</t>
  </si>
  <si>
    <t>IM016-30</t>
  </si>
  <si>
    <t>NOVAFIL PB</t>
  </si>
  <si>
    <t>IM016-31</t>
  </si>
  <si>
    <t xml:space="preserve">NOVADER HF BRUNO G </t>
  </si>
  <si>
    <t>IM016-32</t>
  </si>
  <si>
    <t>NOVADERM SOFT ROSA</t>
  </si>
  <si>
    <t>IM016-33</t>
  </si>
  <si>
    <t xml:space="preserve">BIOSSIDO DI TITANIO </t>
  </si>
  <si>
    <t>NOVADERM NERO T210</t>
  </si>
  <si>
    <t xml:space="preserve">EL FERNANE </t>
  </si>
  <si>
    <t>LOC-005-25</t>
  </si>
  <si>
    <t>SEL COMMUN</t>
  </si>
  <si>
    <t>005/25</t>
  </si>
  <si>
    <t>CONSORTIUM</t>
  </si>
  <si>
    <t xml:space="preserve">CHROME </t>
  </si>
  <si>
    <t>006/25</t>
  </si>
  <si>
    <t>CHROMITAN B</t>
  </si>
  <si>
    <t>CADILHAC</t>
  </si>
  <si>
    <t>LOC-007-25</t>
  </si>
  <si>
    <t>ACIDE SULFIRIQUE</t>
  </si>
  <si>
    <t>007/25</t>
  </si>
  <si>
    <t>FC2500732</t>
  </si>
  <si>
    <t>BICARBONATE</t>
  </si>
  <si>
    <t>CARBONATE</t>
  </si>
  <si>
    <t>TRYPOLYPHOSPHATE</t>
  </si>
  <si>
    <t>SOUDE CAUSTIQUE</t>
  </si>
  <si>
    <t>ACIDE OXALIQUE</t>
  </si>
  <si>
    <t>-</t>
  </si>
  <si>
    <t>GREEN CHIM</t>
  </si>
  <si>
    <t>LOC-008-25</t>
  </si>
  <si>
    <t>SYNTHOL ZY717</t>
  </si>
  <si>
    <t>008/25</t>
  </si>
  <si>
    <t>LA FARGE CALCINOR</t>
  </si>
  <si>
    <t>LOC-006-25</t>
  </si>
  <si>
    <t>LA CHAUX HYDRATEE</t>
  </si>
  <si>
    <t>009/25</t>
  </si>
  <si>
    <t>FAV25-00494</t>
  </si>
  <si>
    <t>CHAUX HYDRATEE</t>
  </si>
  <si>
    <t>LOC-009-25</t>
  </si>
  <si>
    <t>010/25</t>
  </si>
  <si>
    <t>SAFA CHIMIE</t>
  </si>
  <si>
    <t>LOC-002-25</t>
  </si>
  <si>
    <t>011/25</t>
  </si>
  <si>
    <t>F250009</t>
  </si>
  <si>
    <t>SULPHYDRATE</t>
  </si>
  <si>
    <t>IM-001/25</t>
  </si>
  <si>
    <t>012/25</t>
  </si>
  <si>
    <t>4/E</t>
  </si>
  <si>
    <t>NOVAZIM S20</t>
  </si>
  <si>
    <t>NOVALIKER GLS</t>
  </si>
  <si>
    <t>NOVAFILL PB</t>
  </si>
  <si>
    <t>NOVADERM ROSSO NG</t>
  </si>
  <si>
    <t>NOVADERM ROSSO EBC</t>
  </si>
  <si>
    <t>NOVATAN D400</t>
  </si>
  <si>
    <t>LOC-003-25</t>
  </si>
  <si>
    <t>013/25</t>
  </si>
  <si>
    <t>F250025</t>
  </si>
  <si>
    <t>LOC-010-25</t>
  </si>
  <si>
    <t>0015/25</t>
  </si>
  <si>
    <t>016/25</t>
  </si>
  <si>
    <t>FC2501589</t>
  </si>
  <si>
    <t>METABISULFITE</t>
  </si>
  <si>
    <t>LOC-001-25</t>
  </si>
  <si>
    <t>017/25</t>
  </si>
  <si>
    <t>ACIDE FORMIQUE</t>
  </si>
  <si>
    <t>LOC-014-25</t>
  </si>
  <si>
    <t>018/25</t>
  </si>
  <si>
    <t>SULFURE</t>
  </si>
  <si>
    <t>019/25</t>
  </si>
  <si>
    <t>IM-002/25</t>
  </si>
  <si>
    <t>NOVALIME N</t>
  </si>
  <si>
    <t>020/25</t>
  </si>
  <si>
    <t>6/E</t>
  </si>
  <si>
    <t>NOVACIDE FXL</t>
  </si>
  <si>
    <t>LOC -015-25</t>
  </si>
  <si>
    <t>FORMITE</t>
  </si>
  <si>
    <t>023/25</t>
  </si>
  <si>
    <t>FORMAITE</t>
  </si>
  <si>
    <t xml:space="preserve">NAZAKYO DISTRI </t>
  </si>
  <si>
    <t>LOC-011-25</t>
  </si>
  <si>
    <t>FARINE</t>
  </si>
  <si>
    <t>022/25</t>
  </si>
  <si>
    <t>FARINNE</t>
  </si>
  <si>
    <t>FA202533</t>
  </si>
  <si>
    <t>021/25</t>
  </si>
  <si>
    <t>7/E</t>
  </si>
  <si>
    <t>NOVASLIP KN</t>
  </si>
  <si>
    <t>NOVATAN M</t>
  </si>
  <si>
    <t>NOVASOAP LES</t>
  </si>
  <si>
    <t>ROSSO NG</t>
  </si>
  <si>
    <t>ROSSO EBC</t>
  </si>
  <si>
    <t>BRUNO G</t>
  </si>
  <si>
    <t>NOVACROM PB</t>
  </si>
  <si>
    <t>025/25</t>
  </si>
  <si>
    <t>LOC-013-25</t>
  </si>
  <si>
    <t>024/25</t>
  </si>
  <si>
    <t>FAV25-00495</t>
  </si>
  <si>
    <t>027/25</t>
  </si>
  <si>
    <t>FAC25582</t>
  </si>
  <si>
    <t>LOC-016-25</t>
  </si>
  <si>
    <t>026/25</t>
  </si>
  <si>
    <t>IM-002-25</t>
  </si>
  <si>
    <t>028/25</t>
  </si>
  <si>
    <t>8/E</t>
  </si>
  <si>
    <t>NOVATAN BA</t>
  </si>
  <si>
    <t>LOC-004-25</t>
  </si>
  <si>
    <t>029/25</t>
  </si>
  <si>
    <t>F250050</t>
  </si>
  <si>
    <t>LOC-018-25</t>
  </si>
  <si>
    <t>SYNTHANE S</t>
  </si>
  <si>
    <t>030/25</t>
  </si>
  <si>
    <t>LOC-019-25</t>
  </si>
  <si>
    <t>031/25</t>
  </si>
  <si>
    <t xml:space="preserve">FORMIATE </t>
  </si>
  <si>
    <t>LOC-020-25</t>
  </si>
  <si>
    <t>032/25</t>
  </si>
  <si>
    <t>CHROME</t>
  </si>
  <si>
    <t>F250051</t>
  </si>
  <si>
    <t xml:space="preserve">CHROMOSAL B </t>
  </si>
  <si>
    <t>033/25</t>
  </si>
  <si>
    <t>LOC-023-25</t>
  </si>
  <si>
    <t>SULPHYDTRATE</t>
  </si>
  <si>
    <t>035/25</t>
  </si>
  <si>
    <t>LOC-021-25</t>
  </si>
  <si>
    <t>034/25</t>
  </si>
  <si>
    <t>FC2502328</t>
  </si>
  <si>
    <t>CROMOCHIM</t>
  </si>
  <si>
    <t>IM-003-2025</t>
  </si>
  <si>
    <t>036/25</t>
  </si>
  <si>
    <t xml:space="preserve">ITACROME </t>
  </si>
  <si>
    <t>INVOICE 1</t>
  </si>
  <si>
    <t>LOC-026-25</t>
  </si>
  <si>
    <t>037/25</t>
  </si>
  <si>
    <t>038/25</t>
  </si>
  <si>
    <t>FC250248</t>
  </si>
  <si>
    <t>039/25</t>
  </si>
  <si>
    <t>LOC-025-25</t>
  </si>
  <si>
    <t>040/25</t>
  </si>
  <si>
    <t>ACIDE FORMIQUE 85%</t>
  </si>
  <si>
    <t>LOC -026-25</t>
  </si>
  <si>
    <t>042/25</t>
  </si>
  <si>
    <t>044/25</t>
  </si>
  <si>
    <t>14/E</t>
  </si>
  <si>
    <t>NOVACIDE OPK</t>
  </si>
  <si>
    <t>LOC -027-25</t>
  </si>
  <si>
    <t>045/25</t>
  </si>
  <si>
    <t>FC2503561</t>
  </si>
  <si>
    <t>LOC-027-25</t>
  </si>
  <si>
    <t>LOC-028-25</t>
  </si>
  <si>
    <t>046/25</t>
  </si>
  <si>
    <t>FAV25-0496</t>
  </si>
  <si>
    <t>IM-004-2025</t>
  </si>
  <si>
    <t>047/25</t>
  </si>
  <si>
    <t>21/E</t>
  </si>
  <si>
    <t>²²²1</t>
  </si>
  <si>
    <t>24/04/205</t>
  </si>
  <si>
    <t xml:space="preserve">NOVADECAL </t>
  </si>
  <si>
    <t>NOVADERM BRUNO G</t>
  </si>
  <si>
    <t>NOVALIKER GSN</t>
  </si>
  <si>
    <t xml:space="preserve">NOVASOAP SE </t>
  </si>
  <si>
    <t>NOVALIKER 5084</t>
  </si>
  <si>
    <t>SHIJIAZHUANG</t>
  </si>
  <si>
    <t xml:space="preserve">FORMAITE </t>
  </si>
  <si>
    <t>0043/25</t>
  </si>
  <si>
    <t>TTSFC723/24</t>
  </si>
  <si>
    <t>048/25</t>
  </si>
  <si>
    <t>23/E</t>
  </si>
  <si>
    <t xml:space="preserve">NOVAFILL PB </t>
  </si>
  <si>
    <t>NOVADERM HF BRUNO G</t>
  </si>
  <si>
    <t>049/25</t>
  </si>
  <si>
    <t>25/E</t>
  </si>
  <si>
    <t>056/25</t>
  </si>
  <si>
    <t>F250125</t>
  </si>
  <si>
    <t>LOC -038-25</t>
  </si>
  <si>
    <t>057/25</t>
  </si>
  <si>
    <t>FC2505361</t>
  </si>
  <si>
    <t>LOC-038-25</t>
  </si>
  <si>
    <t>GRPHICHIMIE</t>
  </si>
  <si>
    <t>LOC-037-25</t>
  </si>
  <si>
    <t>NEOMAC P</t>
  </si>
  <si>
    <t>055/25</t>
  </si>
  <si>
    <t>GMT</t>
  </si>
  <si>
    <t>LOC-039-25</t>
  </si>
  <si>
    <t>058/25</t>
  </si>
  <si>
    <t>059/25</t>
  </si>
  <si>
    <t>042-25</t>
  </si>
  <si>
    <t>060/25</t>
  </si>
  <si>
    <t>F250134</t>
  </si>
  <si>
    <t>GRAPHICHIMIE</t>
  </si>
  <si>
    <t>LOC-041-25</t>
  </si>
  <si>
    <t>TAUROL TY</t>
  </si>
  <si>
    <t>061/25</t>
  </si>
  <si>
    <t>LOC-045-25</t>
  </si>
  <si>
    <t>064/25</t>
  </si>
  <si>
    <t>FC2506631</t>
  </si>
  <si>
    <t xml:space="preserve"> </t>
  </si>
  <si>
    <t>LOC-044-25</t>
  </si>
  <si>
    <t>CHEMOL 46/M</t>
  </si>
  <si>
    <t>063/25</t>
  </si>
  <si>
    <t>FLUIDERM SN</t>
  </si>
  <si>
    <t>LOC047-25</t>
  </si>
  <si>
    <t>062/25</t>
  </si>
  <si>
    <t>FAV25-00497</t>
  </si>
  <si>
    <t>ATCM</t>
  </si>
  <si>
    <t>LOC -050-25</t>
  </si>
  <si>
    <t>GIGAMINE DAP</t>
  </si>
  <si>
    <t>065/25</t>
  </si>
  <si>
    <t>LOC-049-25</t>
  </si>
  <si>
    <t>DECALSON A</t>
  </si>
  <si>
    <t>067/25</t>
  </si>
  <si>
    <t>LOC-046-25</t>
  </si>
  <si>
    <t xml:space="preserve">SULPHYDRATE </t>
  </si>
  <si>
    <t>066/25</t>
  </si>
  <si>
    <t>F250146</t>
  </si>
  <si>
    <t>LOC-051-25</t>
  </si>
  <si>
    <t>0071/25</t>
  </si>
  <si>
    <t>FC2507744</t>
  </si>
  <si>
    <t>LOC-055-25</t>
  </si>
  <si>
    <t>068/25</t>
  </si>
  <si>
    <t>FA202576</t>
  </si>
  <si>
    <t>LOC-054-25</t>
  </si>
  <si>
    <t>069/25</t>
  </si>
  <si>
    <t>LEDEX NEGOCE</t>
  </si>
  <si>
    <t>LOC-057-25</t>
  </si>
  <si>
    <t>070/25</t>
  </si>
  <si>
    <t>TANCHROME AB</t>
  </si>
  <si>
    <t>074/2025</t>
  </si>
  <si>
    <t>IM-005-2025</t>
  </si>
  <si>
    <t>072/25</t>
  </si>
  <si>
    <t>50/E</t>
  </si>
  <si>
    <t>NOVALIKER SCM50</t>
  </si>
  <si>
    <t>IM-006-2025</t>
  </si>
  <si>
    <t>076/2025</t>
  </si>
  <si>
    <t>54/E</t>
  </si>
  <si>
    <t>IM-007-2025</t>
  </si>
  <si>
    <t>075/025</t>
  </si>
  <si>
    <t>074/25</t>
  </si>
  <si>
    <t>FC2508191</t>
  </si>
  <si>
    <t>LOC00-22025</t>
  </si>
  <si>
    <t>073/25</t>
  </si>
  <si>
    <t xml:space="preserve">WISE TRADE </t>
  </si>
  <si>
    <t>LOC-058-25</t>
  </si>
  <si>
    <t>077/25</t>
  </si>
  <si>
    <t>078/25</t>
  </si>
  <si>
    <t>LOC-062-25</t>
  </si>
  <si>
    <t>080/2025</t>
  </si>
  <si>
    <t>F250198</t>
  </si>
  <si>
    <t>LOC -061-25</t>
  </si>
  <si>
    <t>079/25</t>
  </si>
  <si>
    <t>FC2508744</t>
  </si>
  <si>
    <t>179/25</t>
  </si>
  <si>
    <t>LOC-063-25</t>
  </si>
  <si>
    <t>LA FARINE</t>
  </si>
  <si>
    <t>83/25</t>
  </si>
  <si>
    <t xml:space="preserve">LA FARINE </t>
  </si>
  <si>
    <t>FA202582</t>
  </si>
  <si>
    <t>LOC-053-25</t>
  </si>
  <si>
    <t>053-25</t>
  </si>
  <si>
    <t>081/25</t>
  </si>
  <si>
    <t>083/25</t>
  </si>
  <si>
    <t>NOVALIKER P-IN</t>
  </si>
  <si>
    <t>082/25</t>
  </si>
  <si>
    <t>56/E</t>
  </si>
  <si>
    <t>NOVACIDE FX/L</t>
  </si>
  <si>
    <t xml:space="preserve">NOVALIME N </t>
  </si>
  <si>
    <t xml:space="preserve">NOVATEN BA </t>
  </si>
  <si>
    <t>LOC-067-25</t>
  </si>
  <si>
    <t>ACTAZIM S</t>
  </si>
  <si>
    <t>088/25</t>
  </si>
  <si>
    <t>ACTAZYM NOV</t>
  </si>
  <si>
    <t>ACTAN FP</t>
  </si>
  <si>
    <t>ACTAN  FP</t>
  </si>
  <si>
    <t>loc-018-25</t>
  </si>
  <si>
    <t>SYNTAN S</t>
  </si>
  <si>
    <t>SYNTHOL EW321</t>
  </si>
  <si>
    <t>089/25</t>
  </si>
  <si>
    <t>SYNTHOL WP</t>
  </si>
  <si>
    <t>SYNTAN RS3</t>
  </si>
  <si>
    <t>TOSCOLAPIE</t>
  </si>
  <si>
    <t>090/25</t>
  </si>
  <si>
    <t>ACIDE FORMIQUE 78%</t>
  </si>
  <si>
    <t>56/EXP</t>
  </si>
  <si>
    <t>LOC-068-25</t>
  </si>
  <si>
    <t>092/25</t>
  </si>
  <si>
    <t>F250210</t>
  </si>
  <si>
    <t>LOC -067-25</t>
  </si>
  <si>
    <t>093/25</t>
  </si>
  <si>
    <t>FC2509542</t>
  </si>
  <si>
    <t>094/25</t>
  </si>
  <si>
    <t>LOC-065-25</t>
  </si>
  <si>
    <t>LOC-071-25</t>
  </si>
  <si>
    <t>096/25</t>
  </si>
  <si>
    <t xml:space="preserve">CHROMITAN B </t>
  </si>
  <si>
    <t>IM-008-2025</t>
  </si>
  <si>
    <t>097/25</t>
  </si>
  <si>
    <t>ITACROME BS</t>
  </si>
  <si>
    <t>AURA -CHIMIE</t>
  </si>
  <si>
    <t>LOC-073-25</t>
  </si>
  <si>
    <t>PELLAN 55N</t>
  </si>
  <si>
    <t>0103/25</t>
  </si>
  <si>
    <t>LOC-074-25</t>
  </si>
  <si>
    <t>ACTOL DB</t>
  </si>
  <si>
    <t>102/25</t>
  </si>
  <si>
    <t>100/25</t>
  </si>
  <si>
    <t>098/25</t>
  </si>
  <si>
    <t>FAV25-00587</t>
  </si>
  <si>
    <t>IM-010-2025</t>
  </si>
  <si>
    <t>099/25</t>
  </si>
  <si>
    <t>68/E</t>
  </si>
  <si>
    <t>099/26</t>
  </si>
  <si>
    <t>099/27</t>
  </si>
  <si>
    <t>099/28</t>
  </si>
  <si>
    <t>099/29</t>
  </si>
  <si>
    <t>099/30</t>
  </si>
  <si>
    <t>099/31</t>
  </si>
  <si>
    <t>099/32</t>
  </si>
  <si>
    <t>099/33</t>
  </si>
  <si>
    <t>099/34</t>
  </si>
  <si>
    <t>099/35</t>
  </si>
  <si>
    <t>099/36</t>
  </si>
  <si>
    <t>099/37</t>
  </si>
  <si>
    <t>099/38</t>
  </si>
  <si>
    <t>099/39</t>
  </si>
  <si>
    <t>0101/25</t>
  </si>
  <si>
    <t>66/E</t>
  </si>
  <si>
    <t>NOVAFIX 30</t>
  </si>
  <si>
    <t>LOC-077-25</t>
  </si>
  <si>
    <t>0107/25</t>
  </si>
  <si>
    <t>FC2510992</t>
  </si>
  <si>
    <t>LOC-078-25</t>
  </si>
  <si>
    <t>MICOCID N</t>
  </si>
  <si>
    <t>0104/25</t>
  </si>
  <si>
    <t>PLENITAL MUF</t>
  </si>
  <si>
    <t>LOC-079-25</t>
  </si>
  <si>
    <t>0106/25</t>
  </si>
  <si>
    <t>F250252</t>
  </si>
  <si>
    <t>LOC-076-25</t>
  </si>
  <si>
    <t>106/25</t>
  </si>
  <si>
    <t>LOC-075-25</t>
  </si>
  <si>
    <t>ACTIDEC P</t>
  </si>
  <si>
    <t>0105/25</t>
  </si>
  <si>
    <t>0111/25</t>
  </si>
  <si>
    <t>NOVALOKER 5084</t>
  </si>
  <si>
    <t xml:space="preserve">NOVAKEM  </t>
  </si>
  <si>
    <t>SODIO METABISOLFITO</t>
  </si>
  <si>
    <t>CHROMOCHIM</t>
  </si>
  <si>
    <t>IM-012-2025</t>
  </si>
  <si>
    <t>0112/25</t>
  </si>
  <si>
    <t>ITACHROM BS</t>
  </si>
  <si>
    <t>0115/25</t>
  </si>
  <si>
    <t>NOVATAN ING /FP</t>
  </si>
  <si>
    <t>LOC-080-25</t>
  </si>
  <si>
    <t>0114/25</t>
  </si>
  <si>
    <t>F250271</t>
  </si>
  <si>
    <t>LOC-084-25</t>
  </si>
  <si>
    <t>0113/25</t>
  </si>
  <si>
    <t>FC2511623</t>
  </si>
  <si>
    <t>0109/25</t>
  </si>
  <si>
    <t>SPNS</t>
  </si>
  <si>
    <t>N°003148</t>
  </si>
  <si>
    <t>HYPOCHLORITE DE SODIUM</t>
  </si>
  <si>
    <t>0110/25</t>
  </si>
  <si>
    <t>FA02460</t>
  </si>
  <si>
    <t>LOC-091-25</t>
  </si>
  <si>
    <t>0121/25</t>
  </si>
  <si>
    <t>LOC-087-25</t>
  </si>
  <si>
    <t>0118/25</t>
  </si>
  <si>
    <t>0100/202</t>
  </si>
  <si>
    <t>LOC-088-25</t>
  </si>
  <si>
    <t>0119/25</t>
  </si>
  <si>
    <t>F250284</t>
  </si>
  <si>
    <t>LOC-089-25</t>
  </si>
  <si>
    <t>ACTOL 430</t>
  </si>
  <si>
    <t>0120/25</t>
  </si>
  <si>
    <t>LOC-086-25</t>
  </si>
  <si>
    <t>ACTAN NH</t>
  </si>
  <si>
    <t>IM-017-2025</t>
  </si>
  <si>
    <t>CHROMOSAL B</t>
  </si>
  <si>
    <t>001/2026</t>
  </si>
  <si>
    <t xml:space="preserve">NOIR TSG </t>
  </si>
  <si>
    <t>PU B</t>
  </si>
  <si>
    <t>PU NET</t>
  </si>
  <si>
    <t>TRIPOLYPHOSPHATE</t>
  </si>
  <si>
    <t>Dos.n°</t>
  </si>
  <si>
    <t>Fournisseur</t>
  </si>
  <si>
    <t>Date de réception</t>
  </si>
  <si>
    <t>DUM n°</t>
  </si>
  <si>
    <t>Date  DUM</t>
  </si>
  <si>
    <t xml:space="preserve"> pos.</t>
  </si>
  <si>
    <t>Nomenclature</t>
  </si>
  <si>
    <t>Intitulé du produit</t>
  </si>
  <si>
    <t>kg  Fac</t>
  </si>
  <si>
    <t>Qté KG</t>
  </si>
  <si>
    <t>Val Facture</t>
  </si>
  <si>
    <t>NOVAKEM 21E</t>
  </si>
  <si>
    <t>6928Z</t>
  </si>
  <si>
    <t>NOVADERM ROSSO</t>
  </si>
  <si>
    <t>NOVAKEM 26E</t>
  </si>
  <si>
    <t>2702F</t>
  </si>
  <si>
    <t>NOVAKEM 28E</t>
  </si>
  <si>
    <t>7678P</t>
  </si>
  <si>
    <t>NOVADERM ROSSOCIDE EB</t>
  </si>
  <si>
    <t>NOVAKEM 31E</t>
  </si>
  <si>
    <t>7861N</t>
  </si>
  <si>
    <t>NOVATAN DDN1</t>
  </si>
  <si>
    <t>NOVAKEM 32E</t>
  </si>
  <si>
    <t>2973A</t>
  </si>
  <si>
    <t>NOVATAN DLF</t>
  </si>
  <si>
    <t>NOVALIKER SCP</t>
  </si>
  <si>
    <t>NOVAKEM 33E</t>
  </si>
  <si>
    <t>8497E</t>
  </si>
  <si>
    <t>NOVATAN DLX-N</t>
  </si>
  <si>
    <t>NOVATAN DD N1</t>
  </si>
  <si>
    <t>NOVAKEM 37E</t>
  </si>
  <si>
    <t>9610P</t>
  </si>
  <si>
    <t>NOVAKEM 03E</t>
  </si>
  <si>
    <t>1383X</t>
  </si>
  <si>
    <t>SHIJIAZHUANG FAMCHEM</t>
  </si>
  <si>
    <t>1720N</t>
  </si>
  <si>
    <t>SODIUM FORMIATE 92%</t>
  </si>
  <si>
    <t>TOSCOLAPI 31EXP</t>
  </si>
  <si>
    <t>2700D</t>
  </si>
  <si>
    <t>ACIDO FORMICO</t>
  </si>
  <si>
    <t>CROMOCHIM 10</t>
  </si>
  <si>
    <t>7137B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</si>
</sst>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1"/>
      <color rgb="FF0000FF"/>
      <name val="Cambria"/>
      <family val="1"/>
    </font>
    <font>
      <sz val="10"/>
      <name val="Cambria"/>
      <family val="1"/>
    </font>
    <font>
      <b/>
      <sz val="10"/>
      <color rgb="FF0000FF"/>
      <name val="Cambria"/>
      <family val="1"/>
    </font>
    <font>
      <b/>
      <sz val="10"/>
      <name val="Cambria"/>
      <family val="1"/>
    </font>
    <font>
      <b/>
      <sz val="9"/>
      <color rgb="FF0000FF"/>
      <name val="Cambria"/>
      <family val="1"/>
    </font>
    <font>
      <b/>
      <sz val="10"/>
      <color theme="1"/>
      <name val="Cambria"/>
      <family val="1"/>
    </font>
    <font>
      <b/>
      <u/>
      <sz val="10"/>
      <color rgb="FF0000FF"/>
      <name val="Cambria"/>
      <family val="1"/>
    </font>
    <font>
      <b/>
      <u/>
      <sz val="10"/>
      <color theme="1"/>
      <name val="Cambria"/>
      <family val="1"/>
    </font>
    <font>
      <b/>
      <u/>
      <sz val="11"/>
      <color rgb="FF0000FF"/>
      <name val="Cambria"/>
      <family val="1"/>
    </font>
    <font>
      <u/>
      <sz val="10"/>
      <name val="Cambria"/>
      <family val="1"/>
    </font>
    <font>
      <b/>
      <u/>
      <sz val="10"/>
      <name val="Cambria"/>
      <family val="1"/>
    </font>
    <font>
      <b/>
      <u/>
      <sz val="9"/>
      <color rgb="FF0000FF"/>
      <name val="Cambria"/>
      <family val="1"/>
    </font>
    <font>
      <u/>
      <sz val="10"/>
      <color theme="1"/>
      <name val="Cambria"/>
      <family val="1"/>
    </font>
    <font>
      <sz val="10"/>
      <color rgb="FF0000FF"/>
      <name val="Cambria"/>
      <family val="1"/>
    </font>
    <font>
      <b/>
      <sz val="10"/>
      <color rgb="FF0000FF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84D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6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64" fontId="13" fillId="0" borderId="0" xfId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64" fontId="9" fillId="0" borderId="0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6" fillId="0" borderId="5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164" fontId="6" fillId="0" borderId="0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5" fillId="0" borderId="3" xfId="1" applyFont="1" applyBorder="1" applyAlignment="1">
      <alignment horizontal="center" vertical="center"/>
    </xf>
    <xf numFmtId="164" fontId="6" fillId="0" borderId="3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64" fontId="5" fillId="0" borderId="10" xfId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64" fontId="5" fillId="0" borderId="8" xfId="1" applyFont="1" applyBorder="1" applyAlignment="1">
      <alignment horizontal="center" vertical="center"/>
    </xf>
    <xf numFmtId="164" fontId="6" fillId="0" borderId="8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vertical="center"/>
    </xf>
    <xf numFmtId="14" fontId="2" fillId="0" borderId="7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7" fontId="2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14" fontId="15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164" fontId="9" fillId="0" borderId="6" xfId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164" fontId="12" fillId="0" borderId="5" xfId="1" applyFont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164" fontId="9" fillId="0" borderId="5" xfId="1" applyFont="1" applyBorder="1" applyAlignment="1">
      <alignment horizontal="center" vertical="center"/>
    </xf>
    <xf numFmtId="164" fontId="13" fillId="0" borderId="5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64" fontId="5" fillId="5" borderId="8" xfId="1" applyFont="1" applyFill="1" applyBorder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164" fontId="3" fillId="0" borderId="15" xfId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4" fontId="5" fillId="0" borderId="17" xfId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5" fillId="0" borderId="18" xfId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16" fillId="0" borderId="20" xfId="0" applyFont="1" applyBorder="1" applyAlignment="1">
      <alignment horizontal="left" vertical="center"/>
    </xf>
    <xf numFmtId="164" fontId="3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4" fillId="0" borderId="16" xfId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5" fillId="0" borderId="16" xfId="1" applyFont="1" applyBorder="1" applyAlignment="1">
      <alignment horizontal="center" vertical="center"/>
    </xf>
    <xf numFmtId="164" fontId="6" fillId="0" borderId="16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4" fontId="17" fillId="0" borderId="0" xfId="0" applyNumberFormat="1" applyFont="1" applyAlignment="1">
      <alignment horizontal="left" vertical="center"/>
    </xf>
    <xf numFmtId="4" fontId="5" fillId="0" borderId="0" xfId="0" applyNumberFormat="1" applyFont="1" applyAlignment="1">
      <alignment horizontal="left" vertical="center"/>
    </xf>
    <xf numFmtId="165" fontId="3" fillId="0" borderId="0" xfId="1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3" fillId="0" borderId="0" xfId="1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4" fontId="22" fillId="0" borderId="0" xfId="1" applyFont="1" applyFill="1" applyAlignment="1">
      <alignment vertical="center"/>
    </xf>
    <xf numFmtId="3" fontId="23" fillId="0" borderId="0" xfId="1" applyNumberFormat="1" applyFont="1" applyFill="1" applyAlignment="1">
      <alignment vertical="center"/>
    </xf>
    <xf numFmtId="3" fontId="20" fillId="0" borderId="0" xfId="1" applyNumberFormat="1" applyFont="1" applyFill="1" applyAlignment="1">
      <alignment vertical="center"/>
    </xf>
    <xf numFmtId="164" fontId="0" fillId="0" borderId="0" xfId="1" applyFont="1" applyFill="1" applyAlignment="1">
      <alignment vertical="center"/>
    </xf>
    <xf numFmtId="2" fontId="19" fillId="0" borderId="0" xfId="1" applyNumberFormat="1" applyFont="1" applyFill="1" applyBorder="1" applyAlignment="1">
      <alignment horizontal="center" vertical="center"/>
    </xf>
    <xf numFmtId="49" fontId="20" fillId="0" borderId="0" xfId="1" applyNumberFormat="1" applyFont="1" applyFill="1" applyBorder="1" applyAlignment="1">
      <alignment vertical="center"/>
    </xf>
    <xf numFmtId="164" fontId="22" fillId="0" borderId="0" xfId="1" applyFont="1" applyFill="1" applyBorder="1" applyAlignment="1">
      <alignment horizontal="left" vertical="center"/>
    </xf>
    <xf numFmtId="165" fontId="20" fillId="0" borderId="0" xfId="1" applyNumberFormat="1" applyFont="1" applyFill="1" applyBorder="1" applyAlignment="1">
      <alignment horizontal="center" vertical="center"/>
    </xf>
    <xf numFmtId="164" fontId="21" fillId="0" borderId="0" xfId="1" applyFont="1" applyFill="1" applyBorder="1" applyAlignment="1">
      <alignment vertical="center"/>
    </xf>
    <xf numFmtId="165" fontId="25" fillId="0" borderId="0" xfId="1" applyNumberFormat="1" applyFont="1" applyFill="1" applyBorder="1" applyAlignment="1">
      <alignment horizontal="center" vertical="center"/>
    </xf>
    <xf numFmtId="1" fontId="24" fillId="0" borderId="0" xfId="1" applyNumberFormat="1" applyFont="1" applyFill="1" applyBorder="1" applyAlignment="1">
      <alignment horizontal="center" vertical="center"/>
    </xf>
    <xf numFmtId="2" fontId="22" fillId="0" borderId="0" xfId="1" applyNumberFormat="1" applyFont="1" applyFill="1" applyBorder="1" applyAlignment="1">
      <alignment horizontal="center" vertical="center"/>
    </xf>
    <xf numFmtId="3" fontId="26" fillId="0" borderId="0" xfId="1" applyNumberFormat="1" applyFont="1" applyFill="1" applyAlignment="1">
      <alignment vertical="center"/>
    </xf>
    <xf numFmtId="2" fontId="27" fillId="0" borderId="23" xfId="1" applyNumberFormat="1" applyFont="1" applyFill="1" applyBorder="1" applyAlignment="1">
      <alignment horizontal="center" vertical="center" wrapText="1"/>
    </xf>
    <xf numFmtId="164" fontId="28" fillId="0" borderId="24" xfId="1" applyFont="1" applyFill="1" applyBorder="1" applyAlignment="1">
      <alignment horizontal="center" vertical="center"/>
    </xf>
    <xf numFmtId="165" fontId="28" fillId="0" borderId="25" xfId="1" applyNumberFormat="1" applyFont="1" applyFill="1" applyBorder="1" applyAlignment="1">
      <alignment horizontal="center" vertical="center" wrapText="1"/>
    </xf>
    <xf numFmtId="14" fontId="28" fillId="0" borderId="25" xfId="1" applyNumberFormat="1" applyFont="1" applyFill="1" applyBorder="1" applyAlignment="1">
      <alignment horizontal="center" vertical="center" wrapText="1"/>
    </xf>
    <xf numFmtId="1" fontId="28" fillId="0" borderId="24" xfId="1" applyNumberFormat="1" applyFont="1" applyFill="1" applyBorder="1" applyAlignment="1">
      <alignment horizontal="center" vertical="center"/>
    </xf>
    <xf numFmtId="2" fontId="28" fillId="0" borderId="24" xfId="1" applyNumberFormat="1" applyFont="1" applyFill="1" applyBorder="1" applyAlignment="1">
      <alignment horizontal="center" vertical="center"/>
    </xf>
    <xf numFmtId="3" fontId="29" fillId="0" borderId="24" xfId="1" applyNumberFormat="1" applyFont="1" applyFill="1" applyBorder="1" applyAlignment="1">
      <alignment horizontal="center" vertical="center"/>
    </xf>
    <xf numFmtId="3" fontId="29" fillId="0" borderId="24" xfId="1" applyNumberFormat="1" applyFont="1" applyFill="1" applyBorder="1" applyAlignment="1">
      <alignment horizontal="center" vertical="center" wrapText="1"/>
    </xf>
    <xf numFmtId="164" fontId="27" fillId="0" borderId="0" xfId="1" applyFont="1" applyFill="1" applyAlignment="1">
      <alignment horizontal="center" vertical="center"/>
    </xf>
    <xf numFmtId="2" fontId="27" fillId="0" borderId="26" xfId="1" applyNumberFormat="1" applyFont="1" applyFill="1" applyBorder="1" applyAlignment="1">
      <alignment horizontal="center" vertical="center" wrapText="1"/>
    </xf>
    <xf numFmtId="164" fontId="28" fillId="0" borderId="27" xfId="1" applyFont="1" applyFill="1" applyBorder="1" applyAlignment="1">
      <alignment horizontal="center" vertical="center"/>
    </xf>
    <xf numFmtId="165" fontId="28" fillId="0" borderId="28" xfId="1" applyNumberFormat="1" applyFont="1" applyFill="1" applyBorder="1" applyAlignment="1">
      <alignment horizontal="center" vertical="center" wrapText="1"/>
    </xf>
    <xf numFmtId="14" fontId="28" fillId="0" borderId="28" xfId="1" applyNumberFormat="1" applyFont="1" applyFill="1" applyBorder="1" applyAlignment="1">
      <alignment horizontal="center" vertical="center" wrapText="1"/>
    </xf>
    <xf numFmtId="1" fontId="28" fillId="0" borderId="27" xfId="1" applyNumberFormat="1" applyFont="1" applyFill="1" applyBorder="1" applyAlignment="1">
      <alignment horizontal="center" vertical="center"/>
    </xf>
    <xf numFmtId="2" fontId="28" fillId="0" borderId="27" xfId="1" applyNumberFormat="1" applyFont="1" applyFill="1" applyBorder="1" applyAlignment="1">
      <alignment horizontal="center" vertical="center"/>
    </xf>
    <xf numFmtId="3" fontId="29" fillId="0" borderId="27" xfId="1" applyNumberFormat="1" applyFont="1" applyFill="1" applyBorder="1" applyAlignment="1">
      <alignment horizontal="center" vertical="center"/>
    </xf>
    <xf numFmtId="3" fontId="28" fillId="0" borderId="27" xfId="1" applyNumberFormat="1" applyFont="1" applyFill="1" applyBorder="1" applyAlignment="1">
      <alignment horizontal="center" vertical="center"/>
    </xf>
    <xf numFmtId="20" fontId="28" fillId="0" borderId="27" xfId="1" applyNumberFormat="1" applyFont="1" applyFill="1" applyBorder="1" applyAlignment="1">
      <alignment horizontal="center" vertical="center"/>
    </xf>
    <xf numFmtId="49" fontId="30" fillId="0" borderId="29" xfId="1" applyNumberFormat="1" applyFont="1" applyFill="1" applyBorder="1" applyAlignment="1">
      <alignment vertical="center"/>
    </xf>
    <xf numFmtId="165" fontId="30" fillId="0" borderId="29" xfId="1" applyNumberFormat="1" applyFont="1" applyFill="1" applyBorder="1" applyAlignment="1">
      <alignment vertical="center"/>
    </xf>
    <xf numFmtId="14" fontId="30" fillId="0" borderId="29" xfId="1" applyNumberFormat="1" applyFont="1" applyFill="1" applyBorder="1" applyAlignment="1">
      <alignment horizontal="center" vertical="center"/>
    </xf>
    <xf numFmtId="165" fontId="31" fillId="0" borderId="29" xfId="1" applyNumberFormat="1" applyFont="1" applyFill="1" applyBorder="1" applyAlignment="1">
      <alignment vertical="center"/>
    </xf>
    <xf numFmtId="14" fontId="31" fillId="0" borderId="29" xfId="1" applyNumberFormat="1" applyFont="1" applyFill="1" applyBorder="1" applyAlignment="1">
      <alignment horizontal="center" vertical="center"/>
    </xf>
    <xf numFmtId="4" fontId="30" fillId="0" borderId="29" xfId="1" applyNumberFormat="1" applyFont="1" applyFill="1" applyBorder="1" applyAlignment="1">
      <alignment horizontal="center" vertical="center"/>
    </xf>
    <xf numFmtId="3" fontId="30" fillId="0" borderId="29" xfId="1" applyNumberFormat="1" applyFont="1" applyFill="1" applyBorder="1" applyAlignment="1">
      <alignment horizontal="center" vertical="center"/>
    </xf>
    <xf numFmtId="165" fontId="30" fillId="0" borderId="30" xfId="1" applyNumberFormat="1" applyFont="1" applyFill="1" applyBorder="1" applyAlignment="1">
      <alignment vertical="center"/>
    </xf>
    <xf numFmtId="14" fontId="30" fillId="0" borderId="30" xfId="1" applyNumberFormat="1" applyFont="1" applyFill="1" applyBorder="1" applyAlignment="1">
      <alignment horizontal="center" vertical="center"/>
    </xf>
    <xf numFmtId="165" fontId="31" fillId="0" borderId="30" xfId="1" applyNumberFormat="1" applyFont="1" applyFill="1" applyBorder="1" applyAlignment="1">
      <alignment vertical="center"/>
    </xf>
    <xf numFmtId="14" fontId="31" fillId="0" borderId="30" xfId="1" applyNumberFormat="1" applyFont="1" applyFill="1" applyBorder="1" applyAlignment="1">
      <alignment horizontal="center" vertical="center"/>
    </xf>
    <xf numFmtId="4" fontId="30" fillId="0" borderId="30" xfId="1" applyNumberFormat="1" applyFont="1" applyFill="1" applyBorder="1" applyAlignment="1">
      <alignment horizontal="center" vertical="center"/>
    </xf>
    <xf numFmtId="3" fontId="30" fillId="0" borderId="30" xfId="1" applyNumberFormat="1" applyFont="1" applyFill="1" applyBorder="1" applyAlignment="1">
      <alignment horizontal="center" vertical="center"/>
    </xf>
    <xf numFmtId="164" fontId="0" fillId="0" borderId="3" xfId="1" applyFont="1" applyFill="1" applyBorder="1" applyAlignment="1">
      <alignment vertical="center"/>
    </xf>
    <xf numFmtId="164" fontId="0" fillId="0" borderId="0" xfId="1" applyFont="1" applyFill="1" applyBorder="1" applyAlignment="1">
      <alignment vertical="center"/>
    </xf>
    <xf numFmtId="49" fontId="30" fillId="0" borderId="30" xfId="1" applyNumberFormat="1" applyFont="1" applyFill="1" applyBorder="1" applyAlignment="1">
      <alignment vertical="center"/>
    </xf>
    <xf numFmtId="49" fontId="30" fillId="0" borderId="31" xfId="1" applyNumberFormat="1" applyFont="1" applyFill="1" applyBorder="1" applyAlignment="1">
      <alignment vertical="center"/>
    </xf>
    <xf numFmtId="165" fontId="30" fillId="0" borderId="31" xfId="1" applyNumberFormat="1" applyFont="1" applyFill="1" applyBorder="1" applyAlignment="1">
      <alignment vertical="center"/>
    </xf>
    <xf numFmtId="14" fontId="30" fillId="0" borderId="31" xfId="1" applyNumberFormat="1" applyFont="1" applyFill="1" applyBorder="1" applyAlignment="1">
      <alignment horizontal="center" vertical="center"/>
    </xf>
    <xf numFmtId="165" fontId="31" fillId="0" borderId="31" xfId="1" applyNumberFormat="1" applyFont="1" applyFill="1" applyBorder="1" applyAlignment="1">
      <alignment vertical="center"/>
    </xf>
    <xf numFmtId="14" fontId="31" fillId="0" borderId="31" xfId="1" applyNumberFormat="1" applyFont="1" applyFill="1" applyBorder="1" applyAlignment="1">
      <alignment horizontal="center" vertical="center"/>
    </xf>
    <xf numFmtId="4" fontId="30" fillId="0" borderId="31" xfId="1" applyNumberFormat="1" applyFont="1" applyFill="1" applyBorder="1" applyAlignment="1">
      <alignment horizontal="center" vertical="center"/>
    </xf>
    <xf numFmtId="3" fontId="30" fillId="0" borderId="31" xfId="1" applyNumberFormat="1" applyFont="1" applyFill="1" applyBorder="1" applyAlignment="1">
      <alignment horizontal="center" vertical="center"/>
    </xf>
    <xf numFmtId="164" fontId="0" fillId="0" borderId="21" xfId="1" applyFont="1" applyFill="1" applyBorder="1" applyAlignment="1">
      <alignment vertical="center"/>
    </xf>
    <xf numFmtId="49" fontId="30" fillId="0" borderId="32" xfId="1" applyNumberFormat="1" applyFont="1" applyFill="1" applyBorder="1" applyAlignment="1">
      <alignment vertical="center"/>
    </xf>
    <xf numFmtId="165" fontId="30" fillId="0" borderId="32" xfId="1" applyNumberFormat="1" applyFont="1" applyFill="1" applyBorder="1" applyAlignment="1">
      <alignment vertical="center"/>
    </xf>
    <xf numFmtId="14" fontId="30" fillId="0" borderId="32" xfId="1" applyNumberFormat="1" applyFont="1" applyFill="1" applyBorder="1" applyAlignment="1">
      <alignment horizontal="center" vertical="center"/>
    </xf>
    <xf numFmtId="165" fontId="31" fillId="0" borderId="32" xfId="1" applyNumberFormat="1" applyFont="1" applyFill="1" applyBorder="1" applyAlignment="1">
      <alignment vertical="center"/>
    </xf>
    <xf numFmtId="14" fontId="31" fillId="0" borderId="32" xfId="1" applyNumberFormat="1" applyFont="1" applyFill="1" applyBorder="1" applyAlignment="1">
      <alignment horizontal="center" vertical="center"/>
    </xf>
    <xf numFmtId="4" fontId="30" fillId="0" borderId="32" xfId="1" applyNumberFormat="1" applyFont="1" applyFill="1" applyBorder="1" applyAlignment="1">
      <alignment horizontal="center" vertical="center"/>
    </xf>
    <xf numFmtId="3" fontId="30" fillId="0" borderId="32" xfId="1" applyNumberFormat="1" applyFont="1" applyFill="1" applyBorder="1" applyAlignment="1">
      <alignment horizontal="center" vertical="center"/>
    </xf>
    <xf numFmtId="164" fontId="0" fillId="0" borderId="5" xfId="1" applyFont="1" applyFill="1" applyBorder="1" applyAlignment="1">
      <alignment vertical="center"/>
    </xf>
    <xf numFmtId="164" fontId="25" fillId="0" borderId="0" xfId="1" applyFont="1" applyFill="1" applyAlignment="1">
      <alignment vertical="center"/>
    </xf>
    <xf numFmtId="164" fontId="18" fillId="0" borderId="0" xfId="1" applyFont="1" applyFill="1" applyAlignment="1">
      <alignment vertical="center"/>
    </xf>
    <xf numFmtId="2" fontId="0" fillId="0" borderId="0" xfId="1" applyNumberFormat="1" applyFont="1" applyFill="1" applyAlignment="1">
      <alignment vertical="center"/>
    </xf>
    <xf numFmtId="165" fontId="22" fillId="0" borderId="0" xfId="1" applyNumberFormat="1" applyFont="1" applyFill="1" applyAlignment="1">
      <alignment vertical="center"/>
    </xf>
    <xf numFmtId="14" fontId="32" fillId="0" borderId="0" xfId="1" applyNumberFormat="1" applyFont="1" applyFill="1" applyAlignment="1">
      <alignment horizontal="center" vertical="center"/>
    </xf>
    <xf numFmtId="1" fontId="0" fillId="0" borderId="0" xfId="1" applyNumberFormat="1" applyFont="1" applyFill="1" applyAlignment="1">
      <alignment horizontal="center" vertical="center"/>
    </xf>
    <xf numFmtId="3" fontId="0" fillId="0" borderId="0" xfId="1" applyNumberFormat="1" applyFont="1" applyFill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E2C9-EE05-42E3-8CA7-DF7990EAD7FA}">
  <sheetPr>
    <tabColor rgb="FFFF0000"/>
  </sheetPr>
  <dimension ref="A1:AG409"/>
  <sheetViews>
    <sheetView topLeftCell="A3" zoomScale="95" zoomScaleNormal="95" workbookViewId="0">
      <pane ySplit="2" topLeftCell="A245" activePane="bottomLeft" state="frozen"/>
      <selection activeCell="A3" sqref="A3"/>
      <selection pane="bottomLeft" activeCell="E335" sqref="E335"/>
    </sheetView>
  </sheetViews>
  <sheetFormatPr baseColWidth="10" defaultColWidth="11.42578125" defaultRowHeight="14.25" x14ac:dyDescent="0.25"/>
  <cols>
    <col min="1" max="1" width="11.42578125" style="1"/>
    <col min="2" max="2" width="19" style="2" bestFit="1" customWidth="1"/>
    <col min="3" max="3" width="12" style="3" customWidth="1"/>
    <col min="4" max="4" width="14.85546875" style="1" customWidth="1"/>
    <col min="5" max="5" width="25.42578125" style="2" bestFit="1" customWidth="1"/>
    <col min="6" max="6" width="11.42578125" style="51" customWidth="1"/>
    <col min="7" max="7" width="11.42578125" style="3" customWidth="1"/>
    <col min="8" max="8" width="14.5703125" style="4" customWidth="1"/>
    <col min="9" max="9" width="24.5703125" style="2" bestFit="1" customWidth="1"/>
    <col min="10" max="10" width="17.5703125" style="52" customWidth="1"/>
    <col min="11" max="11" width="10.140625" style="6" customWidth="1"/>
    <col min="12" max="12" width="18.85546875" style="53" bestFit="1" customWidth="1"/>
    <col min="13" max="13" width="13.85546875" style="1" bestFit="1" customWidth="1"/>
    <col min="14" max="14" width="16.85546875" style="3" bestFit="1" customWidth="1"/>
    <col min="15" max="15" width="25.42578125" style="2" bestFit="1" customWidth="1"/>
    <col min="16" max="16" width="12" style="9" bestFit="1" customWidth="1"/>
    <col min="17" max="17" width="10" style="10" customWidth="1"/>
    <col min="18" max="18" width="14.7109375" style="11" bestFit="1" customWidth="1"/>
    <col min="19" max="19" width="9.7109375" style="12" customWidth="1"/>
    <col min="20" max="20" width="12.140625" style="1" customWidth="1"/>
    <col min="21" max="21" width="18.140625" style="7" customWidth="1"/>
    <col min="22" max="22" width="14" style="13" bestFit="1" customWidth="1"/>
    <col min="23" max="23" width="18.140625" style="53" customWidth="1"/>
    <col min="24" max="24" width="11.5703125" style="1" hidden="1" customWidth="1"/>
    <col min="25" max="25" width="12.85546875" style="51" hidden="1" customWidth="1"/>
    <col min="26" max="28" width="11.85546875" style="1" hidden="1" customWidth="1"/>
    <col min="29" max="29" width="11.85546875" style="51" hidden="1" customWidth="1"/>
    <col min="30" max="30" width="8.42578125" style="1" customWidth="1"/>
    <col min="31" max="31" width="9.7109375" style="1" customWidth="1"/>
    <col min="32" max="32" width="12.85546875" style="1" customWidth="1"/>
    <col min="33" max="16384" width="11.42578125" style="1"/>
  </cols>
  <sheetData>
    <row r="1" spans="1:32" ht="14.25" hidden="1" customHeight="1" x14ac:dyDescent="0.25">
      <c r="F1" s="1"/>
      <c r="J1" s="5">
        <f>+SUM(J5:J401)</f>
        <v>1215445</v>
      </c>
      <c r="L1" s="7">
        <f>+SUM(L5:L401)</f>
        <v>11597723.140320012</v>
      </c>
      <c r="O1" s="8"/>
      <c r="U1" s="7" t="e">
        <f>SUM(#REF!)</f>
        <v>#REF!</v>
      </c>
      <c r="W1" s="7" t="e">
        <f>SUM(#REF!)</f>
        <v>#REF!</v>
      </c>
      <c r="Y1" s="1"/>
      <c r="AC1" s="1"/>
    </row>
    <row r="2" spans="1:32" s="14" customFormat="1" ht="12.75" hidden="1" customHeight="1" x14ac:dyDescent="0.25">
      <c r="B2" s="15"/>
      <c r="C2" s="16" t="s">
        <v>0</v>
      </c>
      <c r="D2" s="16"/>
      <c r="E2" s="16"/>
      <c r="F2" s="16"/>
      <c r="G2" s="154" t="s">
        <v>1</v>
      </c>
      <c r="H2" s="155"/>
      <c r="I2" s="155"/>
      <c r="J2" s="156"/>
      <c r="K2" s="157"/>
      <c r="L2" s="158"/>
      <c r="M2" s="154" t="s">
        <v>2</v>
      </c>
      <c r="N2" s="155"/>
      <c r="O2" s="155"/>
      <c r="P2" s="156"/>
      <c r="Q2" s="155"/>
      <c r="R2" s="155"/>
      <c r="S2" s="156"/>
      <c r="T2" s="155"/>
      <c r="U2" s="155"/>
      <c r="V2" s="155"/>
      <c r="W2" s="158"/>
      <c r="X2" s="155"/>
      <c r="Y2" s="155"/>
      <c r="Z2" s="155"/>
      <c r="AA2" s="155"/>
      <c r="AB2" s="155"/>
      <c r="AC2" s="155"/>
    </row>
    <row r="3" spans="1:32" s="14" customFormat="1" ht="12.75" x14ac:dyDescent="0.25">
      <c r="B3" s="159" t="s">
        <v>3</v>
      </c>
      <c r="C3" s="159"/>
      <c r="D3" s="159"/>
      <c r="E3" s="159"/>
      <c r="F3" s="159"/>
      <c r="G3" s="160" t="s">
        <v>1</v>
      </c>
      <c r="H3" s="160"/>
      <c r="I3" s="160"/>
      <c r="J3" s="160"/>
      <c r="K3" s="160"/>
      <c r="L3" s="161"/>
      <c r="M3" s="162" t="s">
        <v>4</v>
      </c>
      <c r="N3" s="163"/>
      <c r="O3" s="163"/>
      <c r="P3" s="163"/>
      <c r="Q3" s="163"/>
      <c r="R3" s="163"/>
      <c r="S3" s="163"/>
      <c r="T3" s="163"/>
      <c r="U3" s="163"/>
      <c r="V3" s="163"/>
      <c r="W3" s="164"/>
    </row>
    <row r="4" spans="1:32" s="14" customFormat="1" ht="11.25" customHeight="1" x14ac:dyDescent="0.25">
      <c r="B4" s="17" t="s">
        <v>5</v>
      </c>
      <c r="C4" s="18" t="s">
        <v>6</v>
      </c>
      <c r="D4" s="19" t="s">
        <v>7</v>
      </c>
      <c r="E4" s="17" t="s">
        <v>8</v>
      </c>
      <c r="F4" s="20" t="s">
        <v>9</v>
      </c>
      <c r="G4" s="21" t="s">
        <v>6</v>
      </c>
      <c r="H4" s="22" t="s">
        <v>7</v>
      </c>
      <c r="I4" s="17" t="s">
        <v>8</v>
      </c>
      <c r="J4" s="23" t="s">
        <v>9</v>
      </c>
      <c r="K4" s="24" t="s">
        <v>10</v>
      </c>
      <c r="L4" s="25" t="s">
        <v>11</v>
      </c>
      <c r="M4" s="26" t="s">
        <v>7</v>
      </c>
      <c r="N4" s="18" t="s">
        <v>6</v>
      </c>
      <c r="O4" s="17" t="s">
        <v>8</v>
      </c>
      <c r="P4" s="19" t="s">
        <v>9</v>
      </c>
      <c r="Q4" s="27" t="s">
        <v>12</v>
      </c>
      <c r="R4" s="28" t="s">
        <v>13</v>
      </c>
      <c r="S4" s="29" t="s">
        <v>14</v>
      </c>
      <c r="T4" s="19" t="s">
        <v>15</v>
      </c>
      <c r="U4" s="30" t="s">
        <v>16</v>
      </c>
      <c r="V4" s="28" t="s">
        <v>17</v>
      </c>
      <c r="W4" s="25" t="s">
        <v>18</v>
      </c>
      <c r="X4" s="31" t="s">
        <v>19</v>
      </c>
      <c r="Y4" s="32" t="s">
        <v>20</v>
      </c>
      <c r="Z4" s="31" t="s">
        <v>21</v>
      </c>
      <c r="AA4" s="31" t="s">
        <v>22</v>
      </c>
      <c r="AB4" s="31" t="s">
        <v>23</v>
      </c>
      <c r="AC4" s="32" t="s">
        <v>24</v>
      </c>
      <c r="AD4" s="14" t="e">
        <f t="shared" ref="AD4:AD35" si="0">V4/P4</f>
        <v>#VALUE!</v>
      </c>
      <c r="AE4" s="14" t="e">
        <f t="shared" ref="AE4:AE35" si="1">T4+AD4</f>
        <v>#VALUE!</v>
      </c>
      <c r="AF4" s="14">
        <v>0</v>
      </c>
    </row>
    <row r="5" spans="1:32" x14ac:dyDescent="0.25">
      <c r="A5" s="33" t="s">
        <v>25</v>
      </c>
      <c r="B5" s="34" t="s">
        <v>26</v>
      </c>
      <c r="C5" s="35">
        <v>45617</v>
      </c>
      <c r="D5" s="36" t="s">
        <v>27</v>
      </c>
      <c r="E5" s="34" t="s">
        <v>28</v>
      </c>
      <c r="F5" s="37">
        <v>20000</v>
      </c>
      <c r="G5" s="35">
        <v>45658</v>
      </c>
      <c r="H5" s="38" t="s">
        <v>29</v>
      </c>
      <c r="I5" s="34" t="s">
        <v>28</v>
      </c>
      <c r="J5" s="39">
        <v>20000</v>
      </c>
      <c r="K5" s="36">
        <f>T5</f>
        <v>11.55</v>
      </c>
      <c r="L5" s="40">
        <f>J5*K5</f>
        <v>231000</v>
      </c>
      <c r="M5" s="41" t="s">
        <v>30</v>
      </c>
      <c r="N5" s="35">
        <v>45637</v>
      </c>
      <c r="O5" s="34" t="s">
        <v>28</v>
      </c>
      <c r="P5" s="42">
        <v>20000</v>
      </c>
      <c r="Q5" s="43">
        <v>1.1000000000000001</v>
      </c>
      <c r="R5" s="44">
        <f>P5*Q5</f>
        <v>22000</v>
      </c>
      <c r="S5" s="45">
        <v>10.5</v>
      </c>
      <c r="T5" s="41">
        <f>Q5*S5</f>
        <v>11.55</v>
      </c>
      <c r="U5" s="46">
        <f t="shared" ref="U5:U28" si="2">P5*T5</f>
        <v>231000</v>
      </c>
      <c r="V5" s="47">
        <f>((0.075)*P5)*S5</f>
        <v>15750</v>
      </c>
      <c r="W5" s="40">
        <f t="shared" ref="W5:W28" si="3">U5+V5</f>
        <v>246750</v>
      </c>
      <c r="X5" s="41"/>
      <c r="Y5" s="37"/>
      <c r="Z5" s="41"/>
      <c r="AA5" s="41"/>
      <c r="AB5" s="41"/>
      <c r="AC5" s="41"/>
      <c r="AD5" s="48">
        <f t="shared" si="0"/>
        <v>0.78749999999999998</v>
      </c>
      <c r="AE5" s="41">
        <f t="shared" si="1"/>
        <v>12.3375</v>
      </c>
      <c r="AF5" s="41">
        <v>0</v>
      </c>
    </row>
    <row r="6" spans="1:32" x14ac:dyDescent="0.25">
      <c r="A6" s="49" t="s">
        <v>31</v>
      </c>
      <c r="B6" s="34" t="s">
        <v>32</v>
      </c>
      <c r="C6" s="35"/>
      <c r="D6" s="50"/>
      <c r="E6" s="34" t="s">
        <v>33</v>
      </c>
      <c r="F6" s="37">
        <v>1280</v>
      </c>
      <c r="G6" s="35">
        <v>45658</v>
      </c>
      <c r="H6" s="38" t="s">
        <v>34</v>
      </c>
      <c r="I6" s="34" t="s">
        <v>35</v>
      </c>
      <c r="J6" s="39">
        <v>1280</v>
      </c>
      <c r="K6" s="36">
        <v>3.75</v>
      </c>
      <c r="L6" s="40">
        <f>K6*J6</f>
        <v>4800</v>
      </c>
      <c r="M6" s="41" t="s">
        <v>36</v>
      </c>
      <c r="N6" s="35">
        <v>45657</v>
      </c>
      <c r="O6" s="34" t="s">
        <v>33</v>
      </c>
      <c r="P6" s="42">
        <v>1280</v>
      </c>
      <c r="Q6" s="43"/>
      <c r="R6" s="44"/>
      <c r="S6" s="45"/>
      <c r="T6" s="41">
        <v>3.75</v>
      </c>
      <c r="U6" s="46">
        <f t="shared" si="2"/>
        <v>4800</v>
      </c>
      <c r="V6" s="47">
        <v>800</v>
      </c>
      <c r="W6" s="40">
        <f t="shared" si="3"/>
        <v>5600</v>
      </c>
      <c r="X6" s="41"/>
      <c r="Y6" s="37"/>
      <c r="Z6" s="41"/>
      <c r="AA6" s="41"/>
      <c r="AB6" s="41"/>
      <c r="AC6" s="41"/>
      <c r="AD6" s="48">
        <f t="shared" si="0"/>
        <v>0.625</v>
      </c>
      <c r="AE6" s="41">
        <f t="shared" si="1"/>
        <v>4.375</v>
      </c>
      <c r="AF6" s="41">
        <v>0</v>
      </c>
    </row>
    <row r="7" spans="1:32" x14ac:dyDescent="0.25">
      <c r="A7" s="33" t="s">
        <v>25</v>
      </c>
      <c r="B7" s="2" t="s">
        <v>26</v>
      </c>
      <c r="C7" s="3">
        <v>45617</v>
      </c>
      <c r="D7" s="50" t="s">
        <v>27</v>
      </c>
      <c r="E7" s="2" t="s">
        <v>37</v>
      </c>
      <c r="F7" s="51">
        <v>5500</v>
      </c>
      <c r="G7" s="3">
        <v>45660</v>
      </c>
      <c r="H7" s="4" t="s">
        <v>38</v>
      </c>
      <c r="I7" s="2" t="s">
        <v>37</v>
      </c>
      <c r="J7" s="52">
        <v>5500</v>
      </c>
      <c r="K7" s="6">
        <f t="shared" ref="K7:K28" si="4">T7</f>
        <v>9.7928999999999995</v>
      </c>
      <c r="L7" s="53">
        <f t="shared" ref="L7:L28" si="5">J7*K7</f>
        <v>53860.95</v>
      </c>
      <c r="M7" s="1" t="s">
        <v>39</v>
      </c>
      <c r="N7" s="3">
        <v>45643</v>
      </c>
      <c r="O7" s="2" t="s">
        <v>37</v>
      </c>
      <c r="P7" s="9">
        <v>5500</v>
      </c>
      <c r="Q7" s="54">
        <v>0.93</v>
      </c>
      <c r="R7" s="55">
        <f t="shared" ref="R7:R28" si="6">P7*Q7</f>
        <v>5115</v>
      </c>
      <c r="S7" s="56">
        <v>10.53</v>
      </c>
      <c r="T7" s="1">
        <f t="shared" ref="T7:T28" si="7">Q7*S7</f>
        <v>9.7928999999999995</v>
      </c>
      <c r="U7" s="57">
        <f t="shared" si="2"/>
        <v>53860.95</v>
      </c>
      <c r="V7" s="58">
        <f t="shared" ref="V7:V14" si="8">((0.11081794195)*P7)*S7</f>
        <v>6418.0211080342497</v>
      </c>
      <c r="W7" s="53">
        <f t="shared" si="3"/>
        <v>60278.971108034246</v>
      </c>
      <c r="AC7" s="1"/>
      <c r="AD7" s="59">
        <f t="shared" si="0"/>
        <v>1.1669129287334998</v>
      </c>
      <c r="AE7" s="1">
        <f t="shared" si="1"/>
        <v>10.959812928733498</v>
      </c>
      <c r="AF7" s="1">
        <v>0</v>
      </c>
    </row>
    <row r="8" spans="1:32" x14ac:dyDescent="0.25">
      <c r="A8" s="33" t="s">
        <v>25</v>
      </c>
      <c r="B8" s="2" t="s">
        <v>26</v>
      </c>
      <c r="C8" s="3">
        <v>45617</v>
      </c>
      <c r="D8" s="6" t="s">
        <v>27</v>
      </c>
      <c r="E8" s="2" t="s">
        <v>40</v>
      </c>
      <c r="F8" s="51">
        <v>3000</v>
      </c>
      <c r="G8" s="3">
        <v>45660</v>
      </c>
      <c r="H8" s="4" t="s">
        <v>38</v>
      </c>
      <c r="I8" s="2" t="s">
        <v>40</v>
      </c>
      <c r="J8" s="52">
        <v>3000</v>
      </c>
      <c r="K8" s="6">
        <f t="shared" si="4"/>
        <v>12.635999999999999</v>
      </c>
      <c r="L8" s="53">
        <f t="shared" si="5"/>
        <v>37908</v>
      </c>
      <c r="M8" s="1" t="s">
        <v>39</v>
      </c>
      <c r="N8" s="3">
        <v>45643</v>
      </c>
      <c r="O8" s="2" t="s">
        <v>40</v>
      </c>
      <c r="P8" s="9">
        <v>3000</v>
      </c>
      <c r="Q8" s="54">
        <v>1.2</v>
      </c>
      <c r="R8" s="55">
        <f t="shared" si="6"/>
        <v>3600</v>
      </c>
      <c r="S8" s="56">
        <v>10.53</v>
      </c>
      <c r="T8" s="1">
        <f t="shared" si="7"/>
        <v>12.635999999999999</v>
      </c>
      <c r="U8" s="57">
        <f t="shared" si="2"/>
        <v>37908</v>
      </c>
      <c r="V8" s="58">
        <f t="shared" si="8"/>
        <v>3500.7387862004998</v>
      </c>
      <c r="W8" s="53">
        <f t="shared" si="3"/>
        <v>41408.738786200498</v>
      </c>
      <c r="AC8" s="1"/>
      <c r="AD8" s="59">
        <f t="shared" si="0"/>
        <v>1.1669129287334998</v>
      </c>
      <c r="AE8" s="1">
        <f t="shared" si="1"/>
        <v>13.802912928733498</v>
      </c>
      <c r="AF8" s="1">
        <v>0</v>
      </c>
    </row>
    <row r="9" spans="1:32" x14ac:dyDescent="0.25">
      <c r="A9" s="33" t="s">
        <v>25</v>
      </c>
      <c r="B9" s="2" t="s">
        <v>26</v>
      </c>
      <c r="C9" s="3">
        <v>45617</v>
      </c>
      <c r="D9" s="6" t="s">
        <v>27</v>
      </c>
      <c r="E9" s="2" t="s">
        <v>41</v>
      </c>
      <c r="F9" s="51">
        <v>2200</v>
      </c>
      <c r="G9" s="3">
        <v>45660</v>
      </c>
      <c r="H9" s="4" t="s">
        <v>38</v>
      </c>
      <c r="I9" s="2" t="s">
        <v>41</v>
      </c>
      <c r="J9" s="52">
        <v>2200</v>
      </c>
      <c r="K9" s="6">
        <f t="shared" si="4"/>
        <v>8.1081000000000003</v>
      </c>
      <c r="L9" s="53">
        <f t="shared" si="5"/>
        <v>17837.82</v>
      </c>
      <c r="M9" s="1" t="s">
        <v>39</v>
      </c>
      <c r="N9" s="3">
        <v>45643</v>
      </c>
      <c r="O9" s="2" t="s">
        <v>41</v>
      </c>
      <c r="P9" s="9">
        <v>2200</v>
      </c>
      <c r="Q9" s="54">
        <v>0.77</v>
      </c>
      <c r="R9" s="55">
        <f t="shared" si="6"/>
        <v>1694</v>
      </c>
      <c r="S9" s="56">
        <v>10.53</v>
      </c>
      <c r="T9" s="1">
        <f t="shared" si="7"/>
        <v>8.1081000000000003</v>
      </c>
      <c r="U9" s="57">
        <f t="shared" si="2"/>
        <v>17837.82</v>
      </c>
      <c r="V9" s="58">
        <f t="shared" si="8"/>
        <v>2567.2084432136999</v>
      </c>
      <c r="W9" s="53">
        <f t="shared" si="3"/>
        <v>20405.028443213698</v>
      </c>
      <c r="AC9" s="1"/>
      <c r="AD9" s="59">
        <f t="shared" si="0"/>
        <v>1.1669129287334998</v>
      </c>
      <c r="AE9" s="1">
        <f t="shared" si="1"/>
        <v>9.2750129287334993</v>
      </c>
      <c r="AF9" s="1">
        <v>0</v>
      </c>
    </row>
    <row r="10" spans="1:32" x14ac:dyDescent="0.25">
      <c r="A10" s="33" t="s">
        <v>25</v>
      </c>
      <c r="B10" s="2" t="s">
        <v>26</v>
      </c>
      <c r="C10" s="3">
        <v>45617</v>
      </c>
      <c r="D10" s="6" t="s">
        <v>27</v>
      </c>
      <c r="E10" s="2" t="s">
        <v>42</v>
      </c>
      <c r="F10" s="51">
        <v>3300</v>
      </c>
      <c r="G10" s="3">
        <v>45660</v>
      </c>
      <c r="H10" s="4" t="s">
        <v>38</v>
      </c>
      <c r="I10" s="2" t="s">
        <v>42</v>
      </c>
      <c r="J10" s="52">
        <v>3300</v>
      </c>
      <c r="K10" s="6">
        <f t="shared" si="4"/>
        <v>6.5286</v>
      </c>
      <c r="L10" s="53">
        <f t="shared" si="5"/>
        <v>21544.38</v>
      </c>
      <c r="M10" s="1" t="s">
        <v>39</v>
      </c>
      <c r="N10" s="3">
        <v>45643</v>
      </c>
      <c r="O10" s="2" t="s">
        <v>42</v>
      </c>
      <c r="P10" s="9">
        <v>3300</v>
      </c>
      <c r="Q10" s="54">
        <v>0.62</v>
      </c>
      <c r="R10" s="55">
        <f t="shared" si="6"/>
        <v>2046</v>
      </c>
      <c r="S10" s="56">
        <v>10.53</v>
      </c>
      <c r="T10" s="1">
        <f t="shared" si="7"/>
        <v>6.5286</v>
      </c>
      <c r="U10" s="57">
        <f t="shared" si="2"/>
        <v>21544.38</v>
      </c>
      <c r="V10" s="58">
        <f t="shared" si="8"/>
        <v>3850.8126648205498</v>
      </c>
      <c r="W10" s="53">
        <f t="shared" si="3"/>
        <v>25395.192664820552</v>
      </c>
      <c r="AC10" s="1"/>
      <c r="AD10" s="59">
        <f t="shared" si="0"/>
        <v>1.1669129287334998</v>
      </c>
      <c r="AE10" s="1">
        <f t="shared" si="1"/>
        <v>7.6955129287334998</v>
      </c>
      <c r="AF10" s="1">
        <v>0</v>
      </c>
    </row>
    <row r="11" spans="1:32" x14ac:dyDescent="0.25">
      <c r="A11" s="33" t="s">
        <v>25</v>
      </c>
      <c r="B11" s="2" t="s">
        <v>26</v>
      </c>
      <c r="C11" s="3">
        <v>45617</v>
      </c>
      <c r="D11" s="6" t="s">
        <v>27</v>
      </c>
      <c r="E11" s="2" t="s">
        <v>43</v>
      </c>
      <c r="F11" s="51">
        <v>1000</v>
      </c>
      <c r="G11" s="3">
        <v>45660</v>
      </c>
      <c r="H11" s="4" t="s">
        <v>38</v>
      </c>
      <c r="I11" s="2" t="s">
        <v>43</v>
      </c>
      <c r="J11" s="52">
        <v>1000</v>
      </c>
      <c r="K11" s="6">
        <f t="shared" si="4"/>
        <v>20.6388</v>
      </c>
      <c r="L11" s="53">
        <f t="shared" si="5"/>
        <v>20638.8</v>
      </c>
      <c r="M11" s="1" t="s">
        <v>39</v>
      </c>
      <c r="N11" s="3">
        <v>45643</v>
      </c>
      <c r="O11" s="2" t="s">
        <v>43</v>
      </c>
      <c r="P11" s="9">
        <v>1000</v>
      </c>
      <c r="Q11" s="54">
        <v>1.96</v>
      </c>
      <c r="R11" s="55">
        <f t="shared" si="6"/>
        <v>1960</v>
      </c>
      <c r="S11" s="56">
        <v>10.53</v>
      </c>
      <c r="T11" s="1">
        <f t="shared" si="7"/>
        <v>20.6388</v>
      </c>
      <c r="U11" s="57">
        <f t="shared" si="2"/>
        <v>20638.8</v>
      </c>
      <c r="V11" s="58">
        <f t="shared" si="8"/>
        <v>1166.9129287334999</v>
      </c>
      <c r="W11" s="53">
        <f t="shared" si="3"/>
        <v>21805.712928733497</v>
      </c>
      <c r="AC11" s="1"/>
      <c r="AD11" s="59">
        <f t="shared" si="0"/>
        <v>1.1669129287334998</v>
      </c>
      <c r="AE11" s="1">
        <f t="shared" si="1"/>
        <v>21.805712928733499</v>
      </c>
      <c r="AF11" s="1">
        <v>0</v>
      </c>
    </row>
    <row r="12" spans="1:32" x14ac:dyDescent="0.25">
      <c r="A12" s="33" t="s">
        <v>25</v>
      </c>
      <c r="B12" s="2" t="s">
        <v>26</v>
      </c>
      <c r="C12" s="3">
        <v>45617</v>
      </c>
      <c r="D12" s="6" t="s">
        <v>27</v>
      </c>
      <c r="E12" s="2" t="s">
        <v>44</v>
      </c>
      <c r="F12" s="51">
        <v>2000</v>
      </c>
      <c r="G12" s="3">
        <v>45660</v>
      </c>
      <c r="H12" s="4" t="s">
        <v>38</v>
      </c>
      <c r="I12" s="2" t="s">
        <v>44</v>
      </c>
      <c r="J12" s="52">
        <v>2000</v>
      </c>
      <c r="K12" s="6">
        <f t="shared" si="4"/>
        <v>11.6883</v>
      </c>
      <c r="L12" s="53">
        <f t="shared" si="5"/>
        <v>23376.6</v>
      </c>
      <c r="M12" s="1" t="s">
        <v>39</v>
      </c>
      <c r="N12" s="3">
        <v>45643</v>
      </c>
      <c r="O12" s="2" t="s">
        <v>44</v>
      </c>
      <c r="P12" s="9">
        <v>2000</v>
      </c>
      <c r="Q12" s="54">
        <v>1.1100000000000001</v>
      </c>
      <c r="R12" s="55">
        <f t="shared" si="6"/>
        <v>2220</v>
      </c>
      <c r="S12" s="56">
        <v>10.53</v>
      </c>
      <c r="T12" s="1">
        <f t="shared" si="7"/>
        <v>11.6883</v>
      </c>
      <c r="U12" s="57">
        <f t="shared" si="2"/>
        <v>23376.6</v>
      </c>
      <c r="V12" s="58">
        <f t="shared" si="8"/>
        <v>2333.8258574669999</v>
      </c>
      <c r="W12" s="53">
        <f t="shared" si="3"/>
        <v>25710.425857466998</v>
      </c>
      <c r="AC12" s="1"/>
      <c r="AD12" s="59">
        <f t="shared" si="0"/>
        <v>1.1669129287334998</v>
      </c>
      <c r="AE12" s="1">
        <f t="shared" si="1"/>
        <v>12.855212928733501</v>
      </c>
      <c r="AF12" s="1">
        <v>0</v>
      </c>
    </row>
    <row r="13" spans="1:32" x14ac:dyDescent="0.25">
      <c r="A13" s="33" t="s">
        <v>25</v>
      </c>
      <c r="B13" s="2" t="s">
        <v>26</v>
      </c>
      <c r="C13" s="3">
        <v>45617</v>
      </c>
      <c r="D13" s="6" t="s">
        <v>27</v>
      </c>
      <c r="E13" s="2" t="s">
        <v>45</v>
      </c>
      <c r="F13" s="51">
        <v>1000</v>
      </c>
      <c r="G13" s="3">
        <v>45660</v>
      </c>
      <c r="H13" s="4" t="s">
        <v>38</v>
      </c>
      <c r="I13" s="2" t="s">
        <v>45</v>
      </c>
      <c r="J13" s="52">
        <v>1000</v>
      </c>
      <c r="K13" s="6">
        <f t="shared" si="4"/>
        <v>22.113</v>
      </c>
      <c r="L13" s="53">
        <f t="shared" si="5"/>
        <v>22113</v>
      </c>
      <c r="M13" s="1" t="s">
        <v>39</v>
      </c>
      <c r="N13" s="3">
        <v>45643</v>
      </c>
      <c r="O13" s="2" t="s">
        <v>45</v>
      </c>
      <c r="P13" s="9">
        <v>1000</v>
      </c>
      <c r="Q13" s="54">
        <v>2.1</v>
      </c>
      <c r="R13" s="55">
        <f t="shared" si="6"/>
        <v>2100</v>
      </c>
      <c r="S13" s="56">
        <v>10.53</v>
      </c>
      <c r="T13" s="1">
        <f t="shared" si="7"/>
        <v>22.113</v>
      </c>
      <c r="U13" s="57">
        <f t="shared" si="2"/>
        <v>22113</v>
      </c>
      <c r="V13" s="58">
        <f t="shared" si="8"/>
        <v>1166.9129287334999</v>
      </c>
      <c r="W13" s="53">
        <f t="shared" si="3"/>
        <v>23279.912928733502</v>
      </c>
      <c r="AC13" s="1"/>
      <c r="AD13" s="59">
        <f t="shared" si="0"/>
        <v>1.1669129287334998</v>
      </c>
      <c r="AE13" s="1">
        <f t="shared" si="1"/>
        <v>23.279912928733498</v>
      </c>
      <c r="AF13" s="1">
        <v>0</v>
      </c>
    </row>
    <row r="14" spans="1:32" x14ac:dyDescent="0.25">
      <c r="A14" s="33" t="s">
        <v>25</v>
      </c>
      <c r="B14" s="60" t="s">
        <v>26</v>
      </c>
      <c r="C14" s="61">
        <v>45617</v>
      </c>
      <c r="D14" s="6" t="s">
        <v>27</v>
      </c>
      <c r="E14" s="60" t="s">
        <v>46</v>
      </c>
      <c r="F14" s="62">
        <v>96</v>
      </c>
      <c r="G14" s="61">
        <v>45660</v>
      </c>
      <c r="H14" s="63" t="s">
        <v>38</v>
      </c>
      <c r="I14" s="60" t="s">
        <v>46</v>
      </c>
      <c r="J14" s="64">
        <v>96</v>
      </c>
      <c r="K14" s="65">
        <f t="shared" si="4"/>
        <v>37.908000000000001</v>
      </c>
      <c r="L14" s="66">
        <f t="shared" si="5"/>
        <v>3639.1680000000001</v>
      </c>
      <c r="M14" s="67" t="s">
        <v>39</v>
      </c>
      <c r="N14" s="61">
        <v>45643</v>
      </c>
      <c r="O14" s="60" t="s">
        <v>46</v>
      </c>
      <c r="P14" s="31">
        <v>96</v>
      </c>
      <c r="Q14" s="68">
        <v>3.6</v>
      </c>
      <c r="R14" s="69">
        <f t="shared" si="6"/>
        <v>345.6</v>
      </c>
      <c r="S14" s="70">
        <v>10.53</v>
      </c>
      <c r="T14" s="67">
        <f t="shared" si="7"/>
        <v>37.908000000000001</v>
      </c>
      <c r="U14" s="71">
        <f t="shared" si="2"/>
        <v>3639.1680000000001</v>
      </c>
      <c r="V14" s="72">
        <f t="shared" si="8"/>
        <v>112.023641158416</v>
      </c>
      <c r="W14" s="66">
        <f t="shared" si="3"/>
        <v>3751.1916411584161</v>
      </c>
      <c r="X14" s="67"/>
      <c r="Y14" s="62"/>
      <c r="Z14" s="67"/>
      <c r="AA14" s="67"/>
      <c r="AB14" s="67"/>
      <c r="AC14" s="67"/>
      <c r="AD14" s="73">
        <f t="shared" si="0"/>
        <v>1.1669129287335001</v>
      </c>
      <c r="AE14" s="67">
        <f t="shared" si="1"/>
        <v>39.074912928733504</v>
      </c>
      <c r="AF14" s="67">
        <v>0</v>
      </c>
    </row>
    <row r="15" spans="1:32" x14ac:dyDescent="0.25">
      <c r="A15" s="33" t="s">
        <v>25</v>
      </c>
      <c r="B15" s="2" t="s">
        <v>47</v>
      </c>
      <c r="C15" s="3">
        <v>82141</v>
      </c>
      <c r="D15" s="50" t="s">
        <v>27</v>
      </c>
      <c r="E15" s="2" t="s">
        <v>48</v>
      </c>
      <c r="F15" s="51">
        <v>500</v>
      </c>
      <c r="G15" s="3">
        <v>45665</v>
      </c>
      <c r="H15" s="4" t="s">
        <v>49</v>
      </c>
      <c r="I15" s="2" t="s">
        <v>48</v>
      </c>
      <c r="J15" s="52">
        <v>500</v>
      </c>
      <c r="K15" s="6">
        <f t="shared" si="4"/>
        <v>14.8674</v>
      </c>
      <c r="L15" s="53">
        <f t="shared" si="5"/>
        <v>7433.7</v>
      </c>
      <c r="M15" s="1" t="s">
        <v>50</v>
      </c>
      <c r="N15" s="3">
        <v>45646</v>
      </c>
      <c r="O15" s="2" t="s">
        <v>48</v>
      </c>
      <c r="P15" s="9">
        <v>500</v>
      </c>
      <c r="Q15" s="54">
        <v>1.42</v>
      </c>
      <c r="R15" s="55">
        <f t="shared" si="6"/>
        <v>710</v>
      </c>
      <c r="S15" s="56">
        <v>10.47</v>
      </c>
      <c r="T15" s="1">
        <f t="shared" si="7"/>
        <v>14.8674</v>
      </c>
      <c r="U15" s="57">
        <f t="shared" si="2"/>
        <v>7433.7</v>
      </c>
      <c r="V15" s="58">
        <f t="shared" ref="V15:V28" si="9">((0.20297029702)*P15)*S15</f>
        <v>1062.5495048997002</v>
      </c>
      <c r="W15" s="53">
        <f t="shared" si="3"/>
        <v>8496.2495048997007</v>
      </c>
      <c r="AC15" s="1"/>
      <c r="AD15" s="59">
        <f t="shared" si="0"/>
        <v>2.1250990097994005</v>
      </c>
      <c r="AE15" s="1">
        <f t="shared" si="1"/>
        <v>16.992499009799399</v>
      </c>
      <c r="AF15" s="1">
        <v>0</v>
      </c>
    </row>
    <row r="16" spans="1:32" x14ac:dyDescent="0.25">
      <c r="A16" s="33" t="s">
        <v>25</v>
      </c>
      <c r="B16" s="2" t="s">
        <v>26</v>
      </c>
      <c r="C16" s="3">
        <v>45617</v>
      </c>
      <c r="D16" s="6" t="s">
        <v>51</v>
      </c>
      <c r="E16" s="2" t="s">
        <v>52</v>
      </c>
      <c r="F16" s="51">
        <v>2000</v>
      </c>
      <c r="G16" s="3">
        <v>45665</v>
      </c>
      <c r="H16" s="4" t="s">
        <v>49</v>
      </c>
      <c r="I16" s="2" t="s">
        <v>52</v>
      </c>
      <c r="J16" s="52">
        <v>2000</v>
      </c>
      <c r="K16" s="6">
        <f t="shared" si="4"/>
        <v>9.0042000000000009</v>
      </c>
      <c r="L16" s="53">
        <f t="shared" si="5"/>
        <v>18008.400000000001</v>
      </c>
      <c r="M16" s="1" t="s">
        <v>50</v>
      </c>
      <c r="N16" s="3">
        <v>45646</v>
      </c>
      <c r="O16" s="2" t="s">
        <v>52</v>
      </c>
      <c r="P16" s="9">
        <v>2000</v>
      </c>
      <c r="Q16" s="54">
        <v>0.86</v>
      </c>
      <c r="R16" s="55">
        <f t="shared" si="6"/>
        <v>1720</v>
      </c>
      <c r="S16" s="56">
        <v>10.47</v>
      </c>
      <c r="T16" s="1">
        <f t="shared" si="7"/>
        <v>9.0042000000000009</v>
      </c>
      <c r="U16" s="57">
        <f t="shared" si="2"/>
        <v>18008.400000000001</v>
      </c>
      <c r="V16" s="58">
        <f t="shared" si="9"/>
        <v>4250.1980195988008</v>
      </c>
      <c r="W16" s="53">
        <f t="shared" si="3"/>
        <v>22258.598019598801</v>
      </c>
      <c r="AC16" s="1"/>
      <c r="AD16" s="74">
        <f t="shared" si="0"/>
        <v>2.1250990097994005</v>
      </c>
      <c r="AE16" s="1">
        <f t="shared" si="1"/>
        <v>11.129299009799402</v>
      </c>
      <c r="AF16" s="1">
        <v>0</v>
      </c>
    </row>
    <row r="17" spans="1:32" x14ac:dyDescent="0.25">
      <c r="A17" s="33" t="s">
        <v>25</v>
      </c>
      <c r="B17" s="2" t="s">
        <v>26</v>
      </c>
      <c r="C17" s="3">
        <v>45617</v>
      </c>
      <c r="D17" s="6" t="s">
        <v>53</v>
      </c>
      <c r="E17" s="2" t="s">
        <v>54</v>
      </c>
      <c r="F17" s="51">
        <v>1000</v>
      </c>
      <c r="G17" s="3">
        <v>45665</v>
      </c>
      <c r="H17" s="4" t="s">
        <v>49</v>
      </c>
      <c r="I17" s="2" t="s">
        <v>54</v>
      </c>
      <c r="J17" s="52">
        <v>1000</v>
      </c>
      <c r="K17" s="6">
        <f t="shared" si="4"/>
        <v>22.405800000000003</v>
      </c>
      <c r="L17" s="53">
        <f t="shared" si="5"/>
        <v>22405.800000000003</v>
      </c>
      <c r="M17" s="1" t="s">
        <v>50</v>
      </c>
      <c r="N17" s="3">
        <v>45646</v>
      </c>
      <c r="O17" s="2" t="s">
        <v>54</v>
      </c>
      <c r="P17" s="9">
        <v>1000</v>
      </c>
      <c r="Q17" s="54">
        <v>2.14</v>
      </c>
      <c r="R17" s="55">
        <f t="shared" si="6"/>
        <v>2140</v>
      </c>
      <c r="S17" s="56">
        <v>10.47</v>
      </c>
      <c r="T17" s="1">
        <f t="shared" si="7"/>
        <v>22.405800000000003</v>
      </c>
      <c r="U17" s="57">
        <f t="shared" si="2"/>
        <v>22405.800000000003</v>
      </c>
      <c r="V17" s="58">
        <f t="shared" si="9"/>
        <v>2125.0990097994004</v>
      </c>
      <c r="W17" s="53">
        <f t="shared" si="3"/>
        <v>24530.899009799403</v>
      </c>
      <c r="AC17" s="1"/>
      <c r="AD17" s="59">
        <f t="shared" si="0"/>
        <v>2.1250990097994005</v>
      </c>
      <c r="AE17" s="1">
        <f t="shared" si="1"/>
        <v>24.530899009799402</v>
      </c>
      <c r="AF17" s="1">
        <v>0</v>
      </c>
    </row>
    <row r="18" spans="1:32" x14ac:dyDescent="0.25">
      <c r="A18" s="33" t="s">
        <v>25</v>
      </c>
      <c r="B18" s="2" t="s">
        <v>26</v>
      </c>
      <c r="C18" s="3">
        <v>45617</v>
      </c>
      <c r="D18" s="6" t="s">
        <v>55</v>
      </c>
      <c r="E18" s="2" t="s">
        <v>56</v>
      </c>
      <c r="F18" s="51">
        <v>1000</v>
      </c>
      <c r="G18" s="3">
        <v>45665</v>
      </c>
      <c r="H18" s="4" t="s">
        <v>49</v>
      </c>
      <c r="I18" s="2" t="s">
        <v>56</v>
      </c>
      <c r="J18" s="52">
        <v>1000</v>
      </c>
      <c r="K18" s="6">
        <f t="shared" si="4"/>
        <v>15.1815</v>
      </c>
      <c r="L18" s="53">
        <f t="shared" si="5"/>
        <v>15181.5</v>
      </c>
      <c r="M18" s="1" t="s">
        <v>50</v>
      </c>
      <c r="N18" s="3">
        <v>45646</v>
      </c>
      <c r="O18" s="2" t="s">
        <v>56</v>
      </c>
      <c r="P18" s="9">
        <v>1000</v>
      </c>
      <c r="Q18" s="54">
        <v>1.45</v>
      </c>
      <c r="R18" s="55">
        <f t="shared" si="6"/>
        <v>1450</v>
      </c>
      <c r="S18" s="56">
        <v>10.47</v>
      </c>
      <c r="T18" s="1">
        <f t="shared" si="7"/>
        <v>15.1815</v>
      </c>
      <c r="U18" s="57">
        <f t="shared" si="2"/>
        <v>15181.5</v>
      </c>
      <c r="V18" s="58">
        <f t="shared" si="9"/>
        <v>2125.0990097994004</v>
      </c>
      <c r="W18" s="53">
        <f t="shared" si="3"/>
        <v>17306.5990097994</v>
      </c>
      <c r="AC18" s="1"/>
      <c r="AD18" s="59">
        <f t="shared" si="0"/>
        <v>2.1250990097994005</v>
      </c>
      <c r="AE18" s="1">
        <f t="shared" si="1"/>
        <v>17.306599009799399</v>
      </c>
      <c r="AF18" s="1">
        <v>0</v>
      </c>
    </row>
    <row r="19" spans="1:32" x14ac:dyDescent="0.25">
      <c r="A19" s="33" t="s">
        <v>25</v>
      </c>
      <c r="B19" s="2" t="s">
        <v>47</v>
      </c>
      <c r="C19" s="3">
        <v>45617</v>
      </c>
      <c r="D19" s="6" t="s">
        <v>57</v>
      </c>
      <c r="E19" s="2" t="s">
        <v>58</v>
      </c>
      <c r="F19" s="51">
        <v>4400</v>
      </c>
      <c r="G19" s="3">
        <v>45665</v>
      </c>
      <c r="H19" s="4" t="s">
        <v>49</v>
      </c>
      <c r="I19" s="2" t="s">
        <v>58</v>
      </c>
      <c r="J19" s="52">
        <v>4400</v>
      </c>
      <c r="K19" s="6">
        <f t="shared" si="4"/>
        <v>7.6431000000000004</v>
      </c>
      <c r="L19" s="53">
        <f t="shared" si="5"/>
        <v>33629.64</v>
      </c>
      <c r="M19" s="1" t="s">
        <v>50</v>
      </c>
      <c r="N19" s="3">
        <v>45646</v>
      </c>
      <c r="O19" s="2" t="s">
        <v>58</v>
      </c>
      <c r="P19" s="9">
        <v>4400</v>
      </c>
      <c r="Q19" s="54">
        <v>0.73</v>
      </c>
      <c r="R19" s="55">
        <f t="shared" si="6"/>
        <v>3212</v>
      </c>
      <c r="S19" s="56">
        <v>10.47</v>
      </c>
      <c r="T19" s="1">
        <f t="shared" si="7"/>
        <v>7.6431000000000004</v>
      </c>
      <c r="U19" s="57">
        <f t="shared" si="2"/>
        <v>33629.64</v>
      </c>
      <c r="V19" s="58">
        <f t="shared" si="9"/>
        <v>9350.4356431173601</v>
      </c>
      <c r="W19" s="53">
        <f t="shared" si="3"/>
        <v>42980.075643117358</v>
      </c>
      <c r="AC19" s="1"/>
      <c r="AD19" s="59">
        <f t="shared" si="0"/>
        <v>2.1250990097994</v>
      </c>
      <c r="AE19" s="1">
        <f t="shared" si="1"/>
        <v>9.7681990097993996</v>
      </c>
      <c r="AF19" s="1">
        <v>0</v>
      </c>
    </row>
    <row r="20" spans="1:32" x14ac:dyDescent="0.25">
      <c r="A20" s="33" t="s">
        <v>25</v>
      </c>
      <c r="B20" s="2" t="s">
        <v>26</v>
      </c>
      <c r="C20" s="3">
        <v>45617</v>
      </c>
      <c r="D20" s="6" t="s">
        <v>59</v>
      </c>
      <c r="E20" s="2" t="s">
        <v>60</v>
      </c>
      <c r="F20" s="51">
        <v>1200</v>
      </c>
      <c r="G20" s="3">
        <v>45665</v>
      </c>
      <c r="H20" s="4" t="s">
        <v>49</v>
      </c>
      <c r="I20" s="2" t="s">
        <v>60</v>
      </c>
      <c r="J20" s="52">
        <v>1200</v>
      </c>
      <c r="K20" s="6">
        <f t="shared" si="4"/>
        <v>54.967500000000001</v>
      </c>
      <c r="L20" s="53">
        <f t="shared" si="5"/>
        <v>65961</v>
      </c>
      <c r="M20" s="1" t="s">
        <v>50</v>
      </c>
      <c r="N20" s="3">
        <v>45646</v>
      </c>
      <c r="O20" s="2" t="s">
        <v>60</v>
      </c>
      <c r="P20" s="9">
        <v>1200</v>
      </c>
      <c r="Q20" s="54">
        <v>5.25</v>
      </c>
      <c r="R20" s="55">
        <f t="shared" si="6"/>
        <v>6300</v>
      </c>
      <c r="S20" s="56">
        <v>10.47</v>
      </c>
      <c r="T20" s="1">
        <f t="shared" si="7"/>
        <v>54.967500000000001</v>
      </c>
      <c r="U20" s="57">
        <f t="shared" si="2"/>
        <v>65961</v>
      </c>
      <c r="V20" s="58">
        <f t="shared" si="9"/>
        <v>2550.1188117592801</v>
      </c>
      <c r="W20" s="53">
        <f t="shared" si="3"/>
        <v>68511.118811759283</v>
      </c>
      <c r="AC20" s="1"/>
      <c r="AD20" s="59">
        <f t="shared" si="0"/>
        <v>2.1250990097994</v>
      </c>
      <c r="AE20" s="1">
        <f t="shared" si="1"/>
        <v>57.0925990097994</v>
      </c>
      <c r="AF20" s="1">
        <v>0</v>
      </c>
    </row>
    <row r="21" spans="1:32" x14ac:dyDescent="0.25">
      <c r="A21" s="33" t="s">
        <v>25</v>
      </c>
      <c r="B21" s="2" t="s">
        <v>26</v>
      </c>
      <c r="C21" s="3">
        <v>45617</v>
      </c>
      <c r="D21" s="6" t="s">
        <v>61</v>
      </c>
      <c r="E21" s="2" t="s">
        <v>62</v>
      </c>
      <c r="F21" s="51">
        <v>1000</v>
      </c>
      <c r="G21" s="3">
        <v>45665</v>
      </c>
      <c r="H21" s="4" t="s">
        <v>49</v>
      </c>
      <c r="I21" s="2" t="s">
        <v>62</v>
      </c>
      <c r="J21" s="52">
        <v>1000</v>
      </c>
      <c r="K21" s="6">
        <f t="shared" si="4"/>
        <v>15.705000000000002</v>
      </c>
      <c r="L21" s="53">
        <f t="shared" si="5"/>
        <v>15705.000000000002</v>
      </c>
      <c r="M21" s="1" t="s">
        <v>50</v>
      </c>
      <c r="N21" s="3">
        <v>45646</v>
      </c>
      <c r="O21" s="2" t="s">
        <v>62</v>
      </c>
      <c r="P21" s="9">
        <v>1000</v>
      </c>
      <c r="Q21" s="54">
        <v>1.5</v>
      </c>
      <c r="R21" s="55">
        <f t="shared" si="6"/>
        <v>1500</v>
      </c>
      <c r="S21" s="56">
        <v>10.47</v>
      </c>
      <c r="T21" s="1">
        <f t="shared" si="7"/>
        <v>15.705000000000002</v>
      </c>
      <c r="U21" s="57">
        <f t="shared" si="2"/>
        <v>15705.000000000002</v>
      </c>
      <c r="V21" s="58">
        <f t="shared" si="9"/>
        <v>2125.0990097994004</v>
      </c>
      <c r="W21" s="53">
        <f t="shared" si="3"/>
        <v>17830.099009799404</v>
      </c>
      <c r="AC21" s="1"/>
      <c r="AD21" s="59">
        <f t="shared" si="0"/>
        <v>2.1250990097994005</v>
      </c>
      <c r="AE21" s="1">
        <f t="shared" si="1"/>
        <v>17.830099009799401</v>
      </c>
      <c r="AF21" s="1">
        <v>0</v>
      </c>
    </row>
    <row r="22" spans="1:32" x14ac:dyDescent="0.25">
      <c r="A22" s="33" t="s">
        <v>25</v>
      </c>
      <c r="B22" s="2" t="s">
        <v>47</v>
      </c>
      <c r="C22" s="3">
        <v>45617</v>
      </c>
      <c r="D22" s="6" t="s">
        <v>63</v>
      </c>
      <c r="E22" s="2" t="s">
        <v>64</v>
      </c>
      <c r="F22" s="51">
        <v>1500</v>
      </c>
      <c r="G22" s="3">
        <v>45665</v>
      </c>
      <c r="H22" s="4" t="s">
        <v>49</v>
      </c>
      <c r="I22" s="2" t="s">
        <v>64</v>
      </c>
      <c r="J22" s="52">
        <v>1500</v>
      </c>
      <c r="K22" s="6">
        <f t="shared" si="4"/>
        <v>99.046200000000013</v>
      </c>
      <c r="L22" s="53">
        <f t="shared" si="5"/>
        <v>148569.30000000002</v>
      </c>
      <c r="M22" s="1" t="s">
        <v>50</v>
      </c>
      <c r="N22" s="3">
        <v>45646</v>
      </c>
      <c r="O22" s="2" t="s">
        <v>64</v>
      </c>
      <c r="P22" s="9">
        <v>1500</v>
      </c>
      <c r="Q22" s="54">
        <v>9.4600000000000009</v>
      </c>
      <c r="R22" s="55">
        <f t="shared" si="6"/>
        <v>14190.000000000002</v>
      </c>
      <c r="S22" s="56">
        <v>10.47</v>
      </c>
      <c r="T22" s="1">
        <f t="shared" si="7"/>
        <v>99.046200000000013</v>
      </c>
      <c r="U22" s="57">
        <f t="shared" si="2"/>
        <v>148569.30000000002</v>
      </c>
      <c r="V22" s="58">
        <f t="shared" si="9"/>
        <v>3187.6485146991004</v>
      </c>
      <c r="W22" s="53">
        <f t="shared" si="3"/>
        <v>151756.94851469912</v>
      </c>
      <c r="AC22" s="1"/>
      <c r="AD22" s="59">
        <f t="shared" si="0"/>
        <v>2.1250990097994</v>
      </c>
      <c r="AE22" s="1">
        <f t="shared" si="1"/>
        <v>101.17129900979941</v>
      </c>
      <c r="AF22" s="1">
        <v>0</v>
      </c>
    </row>
    <row r="23" spans="1:32" x14ac:dyDescent="0.25">
      <c r="A23" s="33" t="s">
        <v>25</v>
      </c>
      <c r="B23" s="2" t="s">
        <v>47</v>
      </c>
      <c r="C23" s="3">
        <v>45617</v>
      </c>
      <c r="D23" s="6" t="s">
        <v>65</v>
      </c>
      <c r="E23" s="2" t="s">
        <v>66</v>
      </c>
      <c r="F23" s="51">
        <v>150</v>
      </c>
      <c r="G23" s="3">
        <v>45665</v>
      </c>
      <c r="H23" s="4" t="s">
        <v>49</v>
      </c>
      <c r="I23" s="2" t="s">
        <v>66</v>
      </c>
      <c r="J23" s="52">
        <v>150</v>
      </c>
      <c r="K23" s="6">
        <f t="shared" si="4"/>
        <v>68.055000000000007</v>
      </c>
      <c r="L23" s="53">
        <f t="shared" si="5"/>
        <v>10208.250000000002</v>
      </c>
      <c r="M23" s="1" t="s">
        <v>50</v>
      </c>
      <c r="N23" s="3">
        <v>45646</v>
      </c>
      <c r="O23" s="2" t="s">
        <v>66</v>
      </c>
      <c r="P23" s="9">
        <v>150</v>
      </c>
      <c r="Q23" s="54">
        <v>6.5</v>
      </c>
      <c r="R23" s="55">
        <f t="shared" si="6"/>
        <v>975</v>
      </c>
      <c r="S23" s="56">
        <v>10.47</v>
      </c>
      <c r="T23" s="1">
        <f t="shared" si="7"/>
        <v>68.055000000000007</v>
      </c>
      <c r="U23" s="57">
        <f t="shared" si="2"/>
        <v>10208.250000000002</v>
      </c>
      <c r="V23" s="58">
        <f t="shared" si="9"/>
        <v>318.76485146991001</v>
      </c>
      <c r="W23" s="53">
        <f t="shared" si="3"/>
        <v>10527.014851469912</v>
      </c>
      <c r="AC23" s="1"/>
      <c r="AD23" s="59">
        <f t="shared" si="0"/>
        <v>2.1250990097994</v>
      </c>
      <c r="AE23" s="1">
        <f t="shared" si="1"/>
        <v>70.180099009799406</v>
      </c>
      <c r="AF23" s="1">
        <v>0</v>
      </c>
    </row>
    <row r="24" spans="1:32" x14ac:dyDescent="0.25">
      <c r="A24" s="33" t="s">
        <v>25</v>
      </c>
      <c r="B24" s="2" t="s">
        <v>47</v>
      </c>
      <c r="C24" s="3">
        <v>45617</v>
      </c>
      <c r="D24" s="6" t="s">
        <v>67</v>
      </c>
      <c r="E24" s="2" t="s">
        <v>68</v>
      </c>
      <c r="F24" s="51">
        <v>75</v>
      </c>
      <c r="G24" s="3">
        <v>45665</v>
      </c>
      <c r="H24" s="4" t="s">
        <v>49</v>
      </c>
      <c r="I24" s="2" t="s">
        <v>68</v>
      </c>
      <c r="J24" s="52">
        <v>75</v>
      </c>
      <c r="K24" s="6">
        <f t="shared" si="4"/>
        <v>45.858600000000003</v>
      </c>
      <c r="L24" s="53">
        <f t="shared" si="5"/>
        <v>3439.395</v>
      </c>
      <c r="M24" s="1" t="s">
        <v>50</v>
      </c>
      <c r="N24" s="3">
        <v>45646</v>
      </c>
      <c r="O24" s="2" t="s">
        <v>68</v>
      </c>
      <c r="P24" s="9">
        <v>75</v>
      </c>
      <c r="Q24" s="54">
        <v>4.38</v>
      </c>
      <c r="R24" s="55">
        <f t="shared" si="6"/>
        <v>328.5</v>
      </c>
      <c r="S24" s="56">
        <v>10.47</v>
      </c>
      <c r="T24" s="1">
        <f t="shared" si="7"/>
        <v>45.858600000000003</v>
      </c>
      <c r="U24" s="57">
        <f t="shared" si="2"/>
        <v>3439.395</v>
      </c>
      <c r="V24" s="58">
        <f t="shared" si="9"/>
        <v>159.38242573495501</v>
      </c>
      <c r="W24" s="53">
        <f t="shared" si="3"/>
        <v>3598.7774257349552</v>
      </c>
      <c r="AC24" s="1"/>
      <c r="AD24" s="59">
        <f t="shared" si="0"/>
        <v>2.1250990097994</v>
      </c>
      <c r="AE24" s="1">
        <f t="shared" si="1"/>
        <v>47.983699009799402</v>
      </c>
      <c r="AF24" s="1">
        <v>0</v>
      </c>
    </row>
    <row r="25" spans="1:32" x14ac:dyDescent="0.25">
      <c r="A25" s="33" t="s">
        <v>25</v>
      </c>
      <c r="B25" s="2" t="s">
        <v>47</v>
      </c>
      <c r="C25" s="3">
        <v>45617</v>
      </c>
      <c r="D25" s="6" t="s">
        <v>67</v>
      </c>
      <c r="E25" s="2" t="s">
        <v>40</v>
      </c>
      <c r="F25" s="51">
        <v>2000</v>
      </c>
      <c r="G25" s="3">
        <v>45665</v>
      </c>
      <c r="H25" s="4" t="s">
        <v>49</v>
      </c>
      <c r="I25" s="2" t="s">
        <v>40</v>
      </c>
      <c r="J25" s="52">
        <v>2000</v>
      </c>
      <c r="K25" s="6">
        <f t="shared" si="4"/>
        <v>12.564</v>
      </c>
      <c r="L25" s="53">
        <f t="shared" si="5"/>
        <v>25128</v>
      </c>
      <c r="M25" s="1" t="s">
        <v>50</v>
      </c>
      <c r="N25" s="3">
        <v>45646</v>
      </c>
      <c r="O25" s="2" t="s">
        <v>40</v>
      </c>
      <c r="P25" s="9">
        <v>2000</v>
      </c>
      <c r="Q25" s="54">
        <v>1.2</v>
      </c>
      <c r="R25" s="55">
        <f t="shared" si="6"/>
        <v>2400</v>
      </c>
      <c r="S25" s="56">
        <v>10.47</v>
      </c>
      <c r="T25" s="1">
        <f t="shared" si="7"/>
        <v>12.564</v>
      </c>
      <c r="U25" s="57">
        <f t="shared" si="2"/>
        <v>25128</v>
      </c>
      <c r="V25" s="58">
        <f t="shared" si="9"/>
        <v>4250.1980195988008</v>
      </c>
      <c r="W25" s="53">
        <f t="shared" si="3"/>
        <v>29378.1980195988</v>
      </c>
      <c r="AC25" s="1"/>
      <c r="AD25" s="59">
        <f t="shared" si="0"/>
        <v>2.1250990097994005</v>
      </c>
      <c r="AE25" s="1">
        <f t="shared" si="1"/>
        <v>14.689099009799401</v>
      </c>
      <c r="AF25" s="1">
        <v>0</v>
      </c>
    </row>
    <row r="26" spans="1:32" x14ac:dyDescent="0.25">
      <c r="A26" s="33" t="s">
        <v>25</v>
      </c>
      <c r="B26" s="2" t="s">
        <v>47</v>
      </c>
      <c r="C26" s="3">
        <v>45617</v>
      </c>
      <c r="D26" s="6" t="s">
        <v>67</v>
      </c>
      <c r="E26" s="2" t="s">
        <v>44</v>
      </c>
      <c r="F26" s="51">
        <v>2000</v>
      </c>
      <c r="G26" s="3">
        <v>45665</v>
      </c>
      <c r="H26" s="4" t="s">
        <v>49</v>
      </c>
      <c r="I26" s="2" t="s">
        <v>44</v>
      </c>
      <c r="J26" s="52">
        <v>2000</v>
      </c>
      <c r="K26" s="6">
        <f t="shared" si="4"/>
        <v>11.621700000000002</v>
      </c>
      <c r="L26" s="53">
        <f t="shared" si="5"/>
        <v>23243.400000000005</v>
      </c>
      <c r="M26" s="1" t="s">
        <v>50</v>
      </c>
      <c r="N26" s="3">
        <v>45646</v>
      </c>
      <c r="O26" s="2" t="s">
        <v>44</v>
      </c>
      <c r="P26" s="9">
        <v>2000</v>
      </c>
      <c r="Q26" s="54">
        <v>1.1100000000000001</v>
      </c>
      <c r="R26" s="55">
        <f t="shared" si="6"/>
        <v>2220</v>
      </c>
      <c r="S26" s="56">
        <v>10.47</v>
      </c>
      <c r="T26" s="1">
        <f t="shared" si="7"/>
        <v>11.621700000000002</v>
      </c>
      <c r="U26" s="57">
        <f t="shared" si="2"/>
        <v>23243.400000000005</v>
      </c>
      <c r="V26" s="58">
        <f t="shared" si="9"/>
        <v>4250.1980195988008</v>
      </c>
      <c r="W26" s="53">
        <f t="shared" si="3"/>
        <v>27493.598019598805</v>
      </c>
      <c r="AC26" s="1"/>
      <c r="AD26" s="59">
        <f t="shared" si="0"/>
        <v>2.1250990097994005</v>
      </c>
      <c r="AE26" s="1">
        <f t="shared" si="1"/>
        <v>13.746799009799403</v>
      </c>
      <c r="AF26" s="1">
        <v>0</v>
      </c>
    </row>
    <row r="27" spans="1:32" x14ac:dyDescent="0.25">
      <c r="A27" s="33" t="s">
        <v>25</v>
      </c>
      <c r="B27" s="2" t="s">
        <v>47</v>
      </c>
      <c r="C27" s="3">
        <v>45617</v>
      </c>
      <c r="D27" s="6" t="s">
        <v>67</v>
      </c>
      <c r="E27" s="2" t="s">
        <v>41</v>
      </c>
      <c r="F27" s="51">
        <v>3300</v>
      </c>
      <c r="G27" s="3">
        <v>45665</v>
      </c>
      <c r="H27" s="4" t="s">
        <v>49</v>
      </c>
      <c r="I27" s="2" t="s">
        <v>41</v>
      </c>
      <c r="J27" s="52">
        <v>3300</v>
      </c>
      <c r="K27" s="6">
        <f t="shared" si="4"/>
        <v>8.0619000000000014</v>
      </c>
      <c r="L27" s="53">
        <f t="shared" si="5"/>
        <v>26604.270000000004</v>
      </c>
      <c r="M27" s="1" t="s">
        <v>50</v>
      </c>
      <c r="N27" s="3">
        <v>45646</v>
      </c>
      <c r="O27" s="2" t="s">
        <v>41</v>
      </c>
      <c r="P27" s="9">
        <v>3300</v>
      </c>
      <c r="Q27" s="54">
        <v>0.77</v>
      </c>
      <c r="R27" s="55">
        <f t="shared" si="6"/>
        <v>2541</v>
      </c>
      <c r="S27" s="56">
        <v>10.47</v>
      </c>
      <c r="T27" s="1">
        <f t="shared" si="7"/>
        <v>8.0619000000000014</v>
      </c>
      <c r="U27" s="57">
        <f t="shared" si="2"/>
        <v>26604.270000000004</v>
      </c>
      <c r="V27" s="58">
        <f t="shared" si="9"/>
        <v>7012.8267323380205</v>
      </c>
      <c r="W27" s="53">
        <f t="shared" si="3"/>
        <v>33617.096732338025</v>
      </c>
      <c r="AC27" s="1"/>
      <c r="AD27" s="74">
        <f t="shared" si="0"/>
        <v>2.1250990097994</v>
      </c>
      <c r="AE27" s="1">
        <f t="shared" si="1"/>
        <v>10.186999009799401</v>
      </c>
      <c r="AF27" s="1">
        <v>0</v>
      </c>
    </row>
    <row r="28" spans="1:32" x14ac:dyDescent="0.25">
      <c r="A28" s="33" t="s">
        <v>25</v>
      </c>
      <c r="B28" s="60" t="s">
        <v>47</v>
      </c>
      <c r="C28" s="61">
        <v>45617</v>
      </c>
      <c r="D28" s="65" t="s">
        <v>67</v>
      </c>
      <c r="E28" s="60" t="s">
        <v>69</v>
      </c>
      <c r="F28" s="62">
        <v>75</v>
      </c>
      <c r="G28" s="75">
        <v>45665</v>
      </c>
      <c r="H28" s="63" t="s">
        <v>49</v>
      </c>
      <c r="I28" s="60" t="s">
        <v>69</v>
      </c>
      <c r="J28" s="64">
        <v>75</v>
      </c>
      <c r="K28" s="65">
        <f t="shared" si="4"/>
        <v>29.315999999999999</v>
      </c>
      <c r="L28" s="66">
        <f t="shared" si="5"/>
        <v>2198.6999999999998</v>
      </c>
      <c r="M28" s="73" t="s">
        <v>50</v>
      </c>
      <c r="N28" s="61">
        <v>45646</v>
      </c>
      <c r="O28" s="60" t="s">
        <v>69</v>
      </c>
      <c r="P28" s="31">
        <v>75</v>
      </c>
      <c r="Q28" s="68">
        <v>2.8</v>
      </c>
      <c r="R28" s="69">
        <f t="shared" si="6"/>
        <v>210</v>
      </c>
      <c r="S28" s="70">
        <v>10.47</v>
      </c>
      <c r="T28" s="67">
        <f t="shared" si="7"/>
        <v>29.315999999999999</v>
      </c>
      <c r="U28" s="71">
        <f t="shared" si="2"/>
        <v>2198.6999999999998</v>
      </c>
      <c r="V28" s="72">
        <f t="shared" si="9"/>
        <v>159.38242573495501</v>
      </c>
      <c r="W28" s="66">
        <f t="shared" si="3"/>
        <v>2358.082425734955</v>
      </c>
      <c r="X28" s="67"/>
      <c r="Y28" s="62"/>
      <c r="Z28" s="67"/>
      <c r="AA28" s="67"/>
      <c r="AB28" s="67"/>
      <c r="AC28" s="67"/>
      <c r="AD28" s="73">
        <f t="shared" si="0"/>
        <v>2.1250990097994</v>
      </c>
      <c r="AE28" s="67">
        <f t="shared" si="1"/>
        <v>31.441099009799398</v>
      </c>
      <c r="AF28" s="67">
        <v>0</v>
      </c>
    </row>
    <row r="29" spans="1:32" x14ac:dyDescent="0.25">
      <c r="A29" s="49" t="s">
        <v>31</v>
      </c>
      <c r="B29" s="34" t="s">
        <v>70</v>
      </c>
      <c r="C29" s="35">
        <v>45670</v>
      </c>
      <c r="D29" s="36" t="s">
        <v>71</v>
      </c>
      <c r="E29" s="34" t="s">
        <v>72</v>
      </c>
      <c r="F29" s="37">
        <v>16000</v>
      </c>
      <c r="G29" s="35">
        <v>45670</v>
      </c>
      <c r="H29" s="38" t="s">
        <v>73</v>
      </c>
      <c r="I29" s="34" t="s">
        <v>72</v>
      </c>
      <c r="J29" s="39">
        <v>18800</v>
      </c>
      <c r="K29" s="36">
        <v>0.4</v>
      </c>
      <c r="L29" s="40">
        <f>+K29*J29</f>
        <v>7520</v>
      </c>
      <c r="M29" s="41">
        <v>533</v>
      </c>
      <c r="N29" s="35">
        <v>45677</v>
      </c>
      <c r="O29" s="34" t="s">
        <v>72</v>
      </c>
      <c r="P29" s="42">
        <v>16000</v>
      </c>
      <c r="Q29" s="43"/>
      <c r="R29" s="44"/>
      <c r="S29" s="45"/>
      <c r="T29" s="41">
        <v>0.4</v>
      </c>
      <c r="U29" s="46">
        <f>T29*P29</f>
        <v>6400</v>
      </c>
      <c r="V29" s="47">
        <v>300</v>
      </c>
      <c r="W29" s="40">
        <f>V29+U29</f>
        <v>6700</v>
      </c>
      <c r="X29" s="41"/>
      <c r="Y29" s="37"/>
      <c r="Z29" s="41"/>
      <c r="AA29" s="41"/>
      <c r="AB29" s="41"/>
      <c r="AC29" s="41"/>
      <c r="AD29" s="48">
        <f t="shared" si="0"/>
        <v>1.8749999999999999E-2</v>
      </c>
      <c r="AE29" s="41">
        <f t="shared" si="1"/>
        <v>0.41875000000000001</v>
      </c>
      <c r="AF29" s="41">
        <v>0</v>
      </c>
    </row>
    <row r="30" spans="1:32" x14ac:dyDescent="0.25">
      <c r="A30" s="49" t="s">
        <v>31</v>
      </c>
      <c r="B30" s="2" t="s">
        <v>74</v>
      </c>
      <c r="C30" s="3">
        <v>45670</v>
      </c>
      <c r="D30" s="6"/>
      <c r="E30" s="2" t="s">
        <v>75</v>
      </c>
      <c r="F30" s="51">
        <v>25000</v>
      </c>
      <c r="G30" s="3">
        <v>45673</v>
      </c>
      <c r="H30" s="4" t="s">
        <v>76</v>
      </c>
      <c r="I30" s="2" t="s">
        <v>77</v>
      </c>
      <c r="J30" s="52">
        <v>19500</v>
      </c>
      <c r="K30" s="6">
        <v>12.3</v>
      </c>
      <c r="L30" s="53">
        <f t="shared" ref="L30:L35" si="10">K30*J30</f>
        <v>239850</v>
      </c>
      <c r="M30" s="1">
        <v>144281</v>
      </c>
      <c r="N30" s="3">
        <v>45688</v>
      </c>
      <c r="O30" s="2" t="s">
        <v>77</v>
      </c>
      <c r="P30" s="9">
        <v>19500</v>
      </c>
      <c r="Q30" s="54"/>
      <c r="R30" s="55"/>
      <c r="S30" s="56"/>
      <c r="T30" s="1">
        <v>12.3</v>
      </c>
      <c r="U30" s="57">
        <f>+T30*P30</f>
        <v>239850</v>
      </c>
      <c r="V30" s="58">
        <v>47970</v>
      </c>
      <c r="W30" s="53">
        <f>+V30+U30</f>
        <v>287820</v>
      </c>
      <c r="AC30" s="1"/>
      <c r="AD30" s="59">
        <f t="shared" si="0"/>
        <v>2.46</v>
      </c>
      <c r="AE30" s="1">
        <f t="shared" si="1"/>
        <v>14.760000000000002</v>
      </c>
      <c r="AF30" s="1">
        <v>0</v>
      </c>
    </row>
    <row r="31" spans="1:32" x14ac:dyDescent="0.25">
      <c r="A31" s="49" t="s">
        <v>31</v>
      </c>
      <c r="B31" s="76" t="s">
        <v>78</v>
      </c>
      <c r="C31" s="77">
        <v>45679</v>
      </c>
      <c r="D31" s="50" t="s">
        <v>79</v>
      </c>
      <c r="E31" s="76" t="s">
        <v>80</v>
      </c>
      <c r="F31" s="78">
        <v>5400</v>
      </c>
      <c r="G31" s="77">
        <v>45685</v>
      </c>
      <c r="H31" s="79" t="s">
        <v>81</v>
      </c>
      <c r="I31" s="76" t="s">
        <v>80</v>
      </c>
      <c r="J31" s="80">
        <v>5400</v>
      </c>
      <c r="K31" s="50">
        <v>4</v>
      </c>
      <c r="L31" s="81">
        <f t="shared" si="10"/>
        <v>21600</v>
      </c>
      <c r="M31" s="82" t="s">
        <v>82</v>
      </c>
      <c r="N31" s="77">
        <v>45684</v>
      </c>
      <c r="O31" s="76" t="s">
        <v>80</v>
      </c>
      <c r="P31" s="83">
        <v>5400</v>
      </c>
      <c r="Q31" s="84"/>
      <c r="R31" s="85"/>
      <c r="S31" s="86"/>
      <c r="T31" s="50">
        <v>4</v>
      </c>
      <c r="U31" s="87">
        <f>T31*P31</f>
        <v>21600</v>
      </c>
      <c r="V31" s="88"/>
      <c r="W31" s="81">
        <f>U31+V31</f>
        <v>21600</v>
      </c>
      <c r="X31" s="82"/>
      <c r="Y31" s="78"/>
      <c r="Z31" s="82"/>
      <c r="AA31" s="82"/>
      <c r="AB31" s="82"/>
      <c r="AC31" s="82"/>
      <c r="AD31" s="89">
        <f t="shared" si="0"/>
        <v>0</v>
      </c>
      <c r="AE31" s="82">
        <f t="shared" si="1"/>
        <v>4</v>
      </c>
      <c r="AF31" s="82">
        <v>0</v>
      </c>
    </row>
    <row r="32" spans="1:32" x14ac:dyDescent="0.25">
      <c r="A32" s="49" t="s">
        <v>31</v>
      </c>
      <c r="B32" s="2" t="s">
        <v>78</v>
      </c>
      <c r="C32" s="3">
        <v>45679</v>
      </c>
      <c r="D32" s="6" t="s">
        <v>79</v>
      </c>
      <c r="E32" s="2" t="s">
        <v>83</v>
      </c>
      <c r="F32" s="51">
        <v>2000</v>
      </c>
      <c r="G32" s="3">
        <v>45685</v>
      </c>
      <c r="H32" s="4" t="s">
        <v>81</v>
      </c>
      <c r="I32" s="2" t="s">
        <v>83</v>
      </c>
      <c r="J32" s="52">
        <v>2000</v>
      </c>
      <c r="K32" s="6">
        <v>5</v>
      </c>
      <c r="L32" s="53">
        <f t="shared" si="10"/>
        <v>10000</v>
      </c>
      <c r="M32" s="1" t="s">
        <v>82</v>
      </c>
      <c r="N32" s="3">
        <v>45684</v>
      </c>
      <c r="O32" s="2" t="s">
        <v>83</v>
      </c>
      <c r="P32" s="9">
        <v>2000</v>
      </c>
      <c r="Q32" s="54"/>
      <c r="R32" s="55"/>
      <c r="S32" s="56"/>
      <c r="T32" s="6">
        <v>5</v>
      </c>
      <c r="U32" s="57">
        <f>T32*P32</f>
        <v>10000</v>
      </c>
      <c r="V32" s="58"/>
      <c r="W32" s="53">
        <f>U32+V32</f>
        <v>10000</v>
      </c>
      <c r="AC32" s="1"/>
      <c r="AD32" s="59">
        <f t="shared" si="0"/>
        <v>0</v>
      </c>
      <c r="AE32" s="1">
        <f t="shared" si="1"/>
        <v>5</v>
      </c>
      <c r="AF32" s="1">
        <v>0</v>
      </c>
    </row>
    <row r="33" spans="1:32" x14ac:dyDescent="0.25">
      <c r="A33" s="49" t="s">
        <v>31</v>
      </c>
      <c r="B33" s="2" t="s">
        <v>78</v>
      </c>
      <c r="C33" s="3">
        <v>45679</v>
      </c>
      <c r="D33" s="6" t="s">
        <v>79</v>
      </c>
      <c r="E33" s="2" t="s">
        <v>84</v>
      </c>
      <c r="F33" s="51">
        <v>2000</v>
      </c>
      <c r="G33" s="3">
        <v>45685</v>
      </c>
      <c r="H33" s="4" t="s">
        <v>81</v>
      </c>
      <c r="I33" s="2" t="s">
        <v>84</v>
      </c>
      <c r="J33" s="52">
        <v>2000</v>
      </c>
      <c r="K33" s="6">
        <v>4.3</v>
      </c>
      <c r="L33" s="53">
        <f t="shared" si="10"/>
        <v>8600</v>
      </c>
      <c r="M33" s="1" t="s">
        <v>82</v>
      </c>
      <c r="N33" s="3">
        <v>45684</v>
      </c>
      <c r="O33" s="2" t="s">
        <v>84</v>
      </c>
      <c r="P33" s="9">
        <v>2000</v>
      </c>
      <c r="Q33" s="54"/>
      <c r="R33" s="55"/>
      <c r="S33" s="56"/>
      <c r="T33" s="6">
        <v>4.3</v>
      </c>
      <c r="U33" s="57">
        <f>T33*P33</f>
        <v>8600</v>
      </c>
      <c r="V33" s="58"/>
      <c r="W33" s="53">
        <f>U33+V33</f>
        <v>8600</v>
      </c>
      <c r="AC33" s="1"/>
      <c r="AD33" s="59">
        <f t="shared" si="0"/>
        <v>0</v>
      </c>
      <c r="AE33" s="1">
        <f t="shared" si="1"/>
        <v>4.3</v>
      </c>
      <c r="AF33" s="1">
        <v>0</v>
      </c>
    </row>
    <row r="34" spans="1:32" x14ac:dyDescent="0.25">
      <c r="A34" s="49" t="s">
        <v>31</v>
      </c>
      <c r="B34" s="2" t="s">
        <v>78</v>
      </c>
      <c r="C34" s="3">
        <v>45679</v>
      </c>
      <c r="D34" s="6" t="s">
        <v>79</v>
      </c>
      <c r="E34" s="2" t="s">
        <v>85</v>
      </c>
      <c r="F34" s="51">
        <v>2000</v>
      </c>
      <c r="G34" s="3">
        <v>45685</v>
      </c>
      <c r="H34" s="4" t="s">
        <v>81</v>
      </c>
      <c r="I34" s="2" t="s">
        <v>85</v>
      </c>
      <c r="J34" s="52">
        <v>2000</v>
      </c>
      <c r="K34" s="6">
        <v>16</v>
      </c>
      <c r="L34" s="53">
        <f t="shared" si="10"/>
        <v>32000</v>
      </c>
      <c r="M34" s="1" t="s">
        <v>82</v>
      </c>
      <c r="N34" s="3">
        <v>45684</v>
      </c>
      <c r="O34" s="2" t="s">
        <v>85</v>
      </c>
      <c r="P34" s="9">
        <v>2000</v>
      </c>
      <c r="Q34" s="54"/>
      <c r="R34" s="55"/>
      <c r="S34" s="56"/>
      <c r="T34" s="6">
        <v>16</v>
      </c>
      <c r="U34" s="57">
        <f>T34*P34</f>
        <v>32000</v>
      </c>
      <c r="V34" s="58"/>
      <c r="W34" s="53">
        <f>U34+V34</f>
        <v>32000</v>
      </c>
      <c r="AC34" s="1"/>
      <c r="AD34" s="59">
        <f t="shared" si="0"/>
        <v>0</v>
      </c>
      <c r="AE34" s="1">
        <f t="shared" si="1"/>
        <v>16</v>
      </c>
      <c r="AF34" s="1">
        <v>0</v>
      </c>
    </row>
    <row r="35" spans="1:32" x14ac:dyDescent="0.25">
      <c r="A35" s="49" t="s">
        <v>31</v>
      </c>
      <c r="B35" s="2" t="s">
        <v>78</v>
      </c>
      <c r="C35" s="3">
        <v>45679</v>
      </c>
      <c r="D35" s="6" t="s">
        <v>79</v>
      </c>
      <c r="E35" s="2" t="s">
        <v>86</v>
      </c>
      <c r="F35" s="51">
        <v>1000</v>
      </c>
      <c r="G35" s="3">
        <v>45685</v>
      </c>
      <c r="H35" s="4" t="s">
        <v>81</v>
      </c>
      <c r="I35" s="2" t="s">
        <v>86</v>
      </c>
      <c r="J35" s="52">
        <v>1000</v>
      </c>
      <c r="K35" s="6">
        <v>9.5</v>
      </c>
      <c r="L35" s="53">
        <f t="shared" si="10"/>
        <v>9500</v>
      </c>
      <c r="M35" s="1" t="s">
        <v>82</v>
      </c>
      <c r="N35" s="3">
        <v>45684</v>
      </c>
      <c r="O35" s="2" t="s">
        <v>86</v>
      </c>
      <c r="P35" s="9">
        <v>1000</v>
      </c>
      <c r="Q35" s="54"/>
      <c r="R35" s="55"/>
      <c r="S35" s="56"/>
      <c r="T35" s="6">
        <v>9.5</v>
      </c>
      <c r="U35" s="57">
        <f>T35*P35</f>
        <v>9500</v>
      </c>
      <c r="V35" s="58"/>
      <c r="W35" s="53">
        <f>U35+V35</f>
        <v>9500</v>
      </c>
      <c r="AC35" s="1"/>
      <c r="AD35" s="59">
        <f t="shared" si="0"/>
        <v>0</v>
      </c>
      <c r="AE35" s="1">
        <f t="shared" si="1"/>
        <v>9.5</v>
      </c>
      <c r="AF35" s="1">
        <v>0</v>
      </c>
    </row>
    <row r="36" spans="1:32" x14ac:dyDescent="0.25">
      <c r="A36" s="49" t="s">
        <v>31</v>
      </c>
      <c r="B36" s="60" t="s">
        <v>78</v>
      </c>
      <c r="C36" s="61">
        <v>45679</v>
      </c>
      <c r="D36" s="65" t="s">
        <v>79</v>
      </c>
      <c r="E36" s="60" t="s">
        <v>87</v>
      </c>
      <c r="F36" s="62">
        <v>300</v>
      </c>
      <c r="G36" s="61" t="s">
        <v>88</v>
      </c>
      <c r="H36" s="63" t="s">
        <v>88</v>
      </c>
      <c r="I36" s="60" t="s">
        <v>88</v>
      </c>
      <c r="J36" s="64" t="s">
        <v>88</v>
      </c>
      <c r="K36" s="65" t="s">
        <v>88</v>
      </c>
      <c r="L36" s="66" t="s">
        <v>88</v>
      </c>
      <c r="M36" s="67"/>
      <c r="N36" s="61"/>
      <c r="O36" s="60"/>
      <c r="P36" s="31"/>
      <c r="Q36" s="68"/>
      <c r="R36" s="69"/>
      <c r="S36" s="70"/>
      <c r="T36" s="67"/>
      <c r="U36" s="71"/>
      <c r="V36" s="72"/>
      <c r="W36" s="66"/>
      <c r="X36" s="67"/>
      <c r="Y36" s="62"/>
      <c r="Z36" s="67"/>
      <c r="AA36" s="67"/>
      <c r="AB36" s="67"/>
      <c r="AC36" s="67"/>
      <c r="AD36" s="73"/>
      <c r="AE36" s="67"/>
      <c r="AF36" s="67"/>
    </row>
    <row r="37" spans="1:32" x14ac:dyDescent="0.25">
      <c r="A37" s="49" t="s">
        <v>31</v>
      </c>
      <c r="B37" s="34" t="s">
        <v>89</v>
      </c>
      <c r="C37" s="35">
        <v>45684</v>
      </c>
      <c r="D37" s="36" t="s">
        <v>90</v>
      </c>
      <c r="E37" s="34" t="s">
        <v>91</v>
      </c>
      <c r="F37" s="37">
        <v>140</v>
      </c>
      <c r="G37" s="35">
        <v>45685</v>
      </c>
      <c r="H37" s="38" t="s">
        <v>92</v>
      </c>
      <c r="I37" s="34" t="s">
        <v>91</v>
      </c>
      <c r="J37" s="39">
        <v>140</v>
      </c>
      <c r="K37" s="36">
        <v>33</v>
      </c>
      <c r="L37" s="40">
        <f>+K37*J37</f>
        <v>4620</v>
      </c>
      <c r="M37" s="41">
        <v>250105</v>
      </c>
      <c r="N37" s="35">
        <v>45688</v>
      </c>
      <c r="O37" s="34"/>
      <c r="P37" s="42">
        <v>140</v>
      </c>
      <c r="Q37" s="43"/>
      <c r="R37" s="44"/>
      <c r="S37" s="45"/>
      <c r="T37" s="41">
        <v>33</v>
      </c>
      <c r="U37" s="46">
        <f>+T37*P37</f>
        <v>4620</v>
      </c>
      <c r="V37" s="47"/>
      <c r="W37" s="40">
        <v>4620</v>
      </c>
      <c r="X37" s="41"/>
      <c r="Y37" s="37"/>
      <c r="Z37" s="41"/>
      <c r="AA37" s="41"/>
      <c r="AB37" s="41"/>
      <c r="AC37" s="41"/>
      <c r="AD37" s="48">
        <f t="shared" ref="AD37:AD87" si="11">V37/P37</f>
        <v>0</v>
      </c>
      <c r="AE37" s="41">
        <f t="shared" ref="AE37:AE87" si="12">T37+AD37</f>
        <v>33</v>
      </c>
      <c r="AF37" s="41">
        <v>0</v>
      </c>
    </row>
    <row r="38" spans="1:32" x14ac:dyDescent="0.25">
      <c r="A38" s="49" t="s">
        <v>31</v>
      </c>
      <c r="B38" s="34" t="s">
        <v>93</v>
      </c>
      <c r="C38" s="35">
        <v>45679</v>
      </c>
      <c r="D38" s="36" t="s">
        <v>94</v>
      </c>
      <c r="E38" s="34" t="s">
        <v>95</v>
      </c>
      <c r="F38" s="37">
        <v>16000</v>
      </c>
      <c r="G38" s="35">
        <v>45685</v>
      </c>
      <c r="H38" s="38" t="s">
        <v>96</v>
      </c>
      <c r="I38" s="34" t="s">
        <v>95</v>
      </c>
      <c r="J38" s="39">
        <v>16000</v>
      </c>
      <c r="K38" s="36">
        <v>1.4650000000000001</v>
      </c>
      <c r="L38" s="40">
        <f t="shared" ref="L38:L58" si="13">K38*J38</f>
        <v>23440</v>
      </c>
      <c r="M38" s="41" t="s">
        <v>97</v>
      </c>
      <c r="N38" s="35">
        <v>45896</v>
      </c>
      <c r="O38" s="34" t="s">
        <v>98</v>
      </c>
      <c r="P38" s="42">
        <v>16000</v>
      </c>
      <c r="Q38" s="43"/>
      <c r="R38" s="44"/>
      <c r="S38" s="45"/>
      <c r="T38" s="41">
        <v>1.4650000000000001</v>
      </c>
      <c r="U38" s="46">
        <v>23440</v>
      </c>
      <c r="V38" s="47">
        <v>4688</v>
      </c>
      <c r="W38" s="40">
        <f>+V38+U38</f>
        <v>28128</v>
      </c>
      <c r="X38" s="41"/>
      <c r="Y38" s="37"/>
      <c r="Z38" s="41"/>
      <c r="AA38" s="41"/>
      <c r="AB38" s="41"/>
      <c r="AC38" s="41"/>
      <c r="AD38" s="90">
        <f>V38/P38</f>
        <v>0.29299999999999998</v>
      </c>
      <c r="AE38" s="41">
        <f t="shared" si="12"/>
        <v>1.758</v>
      </c>
      <c r="AF38" s="41">
        <v>0</v>
      </c>
    </row>
    <row r="39" spans="1:32" x14ac:dyDescent="0.25">
      <c r="A39" s="49" t="s">
        <v>31</v>
      </c>
      <c r="B39" s="34" t="s">
        <v>70</v>
      </c>
      <c r="C39" s="35">
        <v>45687</v>
      </c>
      <c r="D39" s="36" t="s">
        <v>99</v>
      </c>
      <c r="E39" s="34" t="s">
        <v>72</v>
      </c>
      <c r="F39" s="37">
        <v>16000</v>
      </c>
      <c r="G39" s="35">
        <v>45687</v>
      </c>
      <c r="H39" s="38" t="s">
        <v>100</v>
      </c>
      <c r="I39" s="34" t="s">
        <v>72</v>
      </c>
      <c r="J39" s="39">
        <v>18080</v>
      </c>
      <c r="K39" s="36">
        <v>0.4</v>
      </c>
      <c r="L39" s="40">
        <f t="shared" si="13"/>
        <v>7232</v>
      </c>
      <c r="M39" s="41">
        <v>534</v>
      </c>
      <c r="N39" s="35">
        <v>45693</v>
      </c>
      <c r="O39" s="34" t="s">
        <v>72</v>
      </c>
      <c r="P39" s="42">
        <v>18080</v>
      </c>
      <c r="Q39" s="43"/>
      <c r="R39" s="44"/>
      <c r="S39" s="45"/>
      <c r="T39" s="41">
        <v>0.4</v>
      </c>
      <c r="U39" s="46">
        <f>+T39*P39</f>
        <v>7232</v>
      </c>
      <c r="V39" s="47">
        <v>300</v>
      </c>
      <c r="W39" s="40">
        <f>V39+U39</f>
        <v>7532</v>
      </c>
      <c r="X39" s="41"/>
      <c r="Y39" s="37"/>
      <c r="Z39" s="41"/>
      <c r="AA39" s="41"/>
      <c r="AB39" s="41"/>
      <c r="AC39" s="41"/>
      <c r="AD39" s="48">
        <f t="shared" si="11"/>
        <v>1.6592920353982302E-2</v>
      </c>
      <c r="AE39" s="41">
        <f t="shared" si="12"/>
        <v>0.41659292035398232</v>
      </c>
      <c r="AF39" s="41">
        <v>0</v>
      </c>
    </row>
    <row r="40" spans="1:32" x14ac:dyDescent="0.25">
      <c r="A40" s="49" t="s">
        <v>31</v>
      </c>
      <c r="B40" s="76" t="s">
        <v>101</v>
      </c>
      <c r="C40" s="77">
        <v>45672</v>
      </c>
      <c r="D40" s="50" t="s">
        <v>102</v>
      </c>
      <c r="E40" s="76" t="s">
        <v>75</v>
      </c>
      <c r="F40" s="78">
        <v>25000</v>
      </c>
      <c r="G40" s="77">
        <v>45688</v>
      </c>
      <c r="H40" s="79" t="s">
        <v>103</v>
      </c>
      <c r="I40" s="76" t="s">
        <v>75</v>
      </c>
      <c r="J40" s="80">
        <v>25000</v>
      </c>
      <c r="K40" s="50">
        <v>12.5</v>
      </c>
      <c r="L40" s="81">
        <f t="shared" si="13"/>
        <v>312500</v>
      </c>
      <c r="M40" s="82" t="s">
        <v>104</v>
      </c>
      <c r="N40" s="77">
        <v>45691</v>
      </c>
      <c r="O40" s="76" t="s">
        <v>75</v>
      </c>
      <c r="P40" s="83">
        <v>25000</v>
      </c>
      <c r="Q40" s="84"/>
      <c r="R40" s="85"/>
      <c r="S40" s="86"/>
      <c r="T40" s="82">
        <v>12</v>
      </c>
      <c r="U40" s="87">
        <f>+T40*P40</f>
        <v>300000</v>
      </c>
      <c r="V40" s="88"/>
      <c r="W40" s="81"/>
      <c r="X40" s="82"/>
      <c r="Y40" s="78"/>
      <c r="Z40" s="82"/>
      <c r="AA40" s="82"/>
      <c r="AB40" s="82"/>
      <c r="AC40" s="82"/>
      <c r="AD40" s="89">
        <f t="shared" si="11"/>
        <v>0</v>
      </c>
      <c r="AE40" s="82">
        <f t="shared" si="12"/>
        <v>12</v>
      </c>
      <c r="AF40" s="82">
        <v>0</v>
      </c>
    </row>
    <row r="41" spans="1:32" x14ac:dyDescent="0.25">
      <c r="A41" s="49" t="s">
        <v>31</v>
      </c>
      <c r="B41" s="60" t="s">
        <v>101</v>
      </c>
      <c r="C41" s="61">
        <v>45672</v>
      </c>
      <c r="D41" s="65" t="s">
        <v>102</v>
      </c>
      <c r="E41" s="60" t="s">
        <v>105</v>
      </c>
      <c r="F41" s="62">
        <v>3000</v>
      </c>
      <c r="G41" s="61">
        <v>45688</v>
      </c>
      <c r="H41" s="63" t="s">
        <v>103</v>
      </c>
      <c r="I41" s="60" t="s">
        <v>105</v>
      </c>
      <c r="J41" s="64">
        <v>3000</v>
      </c>
      <c r="K41" s="65">
        <v>13.5</v>
      </c>
      <c r="L41" s="66">
        <f t="shared" si="13"/>
        <v>40500</v>
      </c>
      <c r="M41" s="67" t="s">
        <v>104</v>
      </c>
      <c r="N41" s="61">
        <v>45691</v>
      </c>
      <c r="O41" s="60" t="s">
        <v>105</v>
      </c>
      <c r="P41" s="31">
        <v>3000</v>
      </c>
      <c r="Q41" s="68"/>
      <c r="R41" s="69"/>
      <c r="S41" s="70"/>
      <c r="T41" s="67">
        <v>13.5</v>
      </c>
      <c r="U41" s="71">
        <f>+T41*P41</f>
        <v>40500</v>
      </c>
      <c r="V41" s="72"/>
      <c r="W41" s="66"/>
      <c r="X41" s="67"/>
      <c r="Y41" s="62"/>
      <c r="Z41" s="67"/>
      <c r="AA41" s="67"/>
      <c r="AB41" s="67"/>
      <c r="AC41" s="67"/>
      <c r="AD41" s="73">
        <f t="shared" si="11"/>
        <v>0</v>
      </c>
      <c r="AE41" s="67">
        <f t="shared" si="12"/>
        <v>13.5</v>
      </c>
      <c r="AF41" s="67">
        <v>0</v>
      </c>
    </row>
    <row r="42" spans="1:32" x14ac:dyDescent="0.25">
      <c r="A42" s="33" t="s">
        <v>25</v>
      </c>
      <c r="B42" s="2" t="s">
        <v>47</v>
      </c>
      <c r="C42" s="3">
        <v>45691</v>
      </c>
      <c r="D42" s="6" t="s">
        <v>106</v>
      </c>
      <c r="E42" s="2" t="s">
        <v>40</v>
      </c>
      <c r="F42" s="51">
        <v>2000</v>
      </c>
      <c r="G42" s="3">
        <v>45691</v>
      </c>
      <c r="H42" s="4" t="s">
        <v>107</v>
      </c>
      <c r="I42" s="2" t="s">
        <v>40</v>
      </c>
      <c r="J42" s="52">
        <v>2000</v>
      </c>
      <c r="K42" s="6">
        <f t="shared" ref="K42:K56" si="14">T42</f>
        <v>12.564</v>
      </c>
      <c r="L42" s="53">
        <f t="shared" si="13"/>
        <v>25128</v>
      </c>
      <c r="M42" s="1" t="s">
        <v>108</v>
      </c>
      <c r="N42" s="3">
        <v>45681</v>
      </c>
      <c r="O42" s="2" t="s">
        <v>40</v>
      </c>
      <c r="P42" s="9">
        <v>2000</v>
      </c>
      <c r="Q42" s="54">
        <v>1.2</v>
      </c>
      <c r="R42" s="55">
        <f t="shared" ref="R42:R56" si="15">P42*Q42</f>
        <v>2400</v>
      </c>
      <c r="S42" s="56">
        <v>10.47</v>
      </c>
      <c r="T42" s="1">
        <f t="shared" ref="T42:T56" si="16">Q42*S42</f>
        <v>12.564</v>
      </c>
      <c r="U42" s="57">
        <f t="shared" ref="U42:U56" si="17">P42*T42</f>
        <v>25128</v>
      </c>
      <c r="V42" s="58">
        <f t="shared" ref="V42:V56" si="18">((0.17255892255)*P42)*S42</f>
        <v>3613.3838381970004</v>
      </c>
      <c r="W42" s="53">
        <f t="shared" ref="W42:W56" si="19">U42+V42</f>
        <v>28741.383838197002</v>
      </c>
      <c r="AC42" s="1"/>
      <c r="AD42" s="59">
        <f t="shared" si="11"/>
        <v>1.8066919190985002</v>
      </c>
      <c r="AE42" s="1">
        <f t="shared" si="12"/>
        <v>14.370691919098501</v>
      </c>
      <c r="AF42" s="1">
        <v>0</v>
      </c>
    </row>
    <row r="43" spans="1:32" x14ac:dyDescent="0.25">
      <c r="A43" s="33" t="s">
        <v>25</v>
      </c>
      <c r="B43" s="2" t="s">
        <v>26</v>
      </c>
      <c r="C43" s="3">
        <v>45691</v>
      </c>
      <c r="D43" s="6" t="s">
        <v>106</v>
      </c>
      <c r="E43" s="2" t="s">
        <v>46</v>
      </c>
      <c r="F43" s="51">
        <v>950</v>
      </c>
      <c r="G43" s="3">
        <v>45691</v>
      </c>
      <c r="H43" s="4" t="s">
        <v>107</v>
      </c>
      <c r="I43" s="2" t="s">
        <v>46</v>
      </c>
      <c r="J43" s="52">
        <v>950</v>
      </c>
      <c r="K43" s="6">
        <f t="shared" si="14"/>
        <v>37.692</v>
      </c>
      <c r="L43" s="53">
        <f t="shared" si="13"/>
        <v>35807.4</v>
      </c>
      <c r="M43" s="1" t="s">
        <v>108</v>
      </c>
      <c r="N43" s="3">
        <v>45681</v>
      </c>
      <c r="O43" s="2" t="s">
        <v>46</v>
      </c>
      <c r="P43" s="9">
        <v>950</v>
      </c>
      <c r="Q43" s="54">
        <v>3.6</v>
      </c>
      <c r="R43" s="55">
        <f t="shared" si="15"/>
        <v>3420</v>
      </c>
      <c r="S43" s="56">
        <v>10.47</v>
      </c>
      <c r="T43" s="1">
        <f t="shared" si="16"/>
        <v>37.692</v>
      </c>
      <c r="U43" s="57">
        <f t="shared" si="17"/>
        <v>35807.4</v>
      </c>
      <c r="V43" s="58">
        <f t="shared" si="18"/>
        <v>1716.3573231435748</v>
      </c>
      <c r="W43" s="53">
        <f t="shared" si="19"/>
        <v>37523.757323143574</v>
      </c>
      <c r="AC43" s="1"/>
      <c r="AD43" s="59">
        <f t="shared" si="11"/>
        <v>1.8066919190984998</v>
      </c>
      <c r="AE43" s="1">
        <f t="shared" si="12"/>
        <v>39.498691919098498</v>
      </c>
      <c r="AF43" s="1">
        <v>0</v>
      </c>
    </row>
    <row r="44" spans="1:32" x14ac:dyDescent="0.25">
      <c r="A44" s="33" t="s">
        <v>25</v>
      </c>
      <c r="B44" s="2" t="s">
        <v>26</v>
      </c>
      <c r="C44" s="3">
        <v>45691</v>
      </c>
      <c r="D44" s="6" t="s">
        <v>106</v>
      </c>
      <c r="E44" s="2" t="s">
        <v>48</v>
      </c>
      <c r="F44" s="51">
        <v>2000</v>
      </c>
      <c r="G44" s="3">
        <v>45691</v>
      </c>
      <c r="H44" s="4" t="s">
        <v>107</v>
      </c>
      <c r="I44" s="2" t="s">
        <v>48</v>
      </c>
      <c r="J44" s="52">
        <v>2000</v>
      </c>
      <c r="K44" s="6">
        <f t="shared" si="14"/>
        <v>14.8674</v>
      </c>
      <c r="L44" s="53">
        <f t="shared" si="13"/>
        <v>29734.799999999999</v>
      </c>
      <c r="M44" s="1" t="s">
        <v>108</v>
      </c>
      <c r="N44" s="3">
        <v>45681</v>
      </c>
      <c r="O44" s="2" t="s">
        <v>48</v>
      </c>
      <c r="P44" s="9">
        <v>2000</v>
      </c>
      <c r="Q44" s="54">
        <v>1.42</v>
      </c>
      <c r="R44" s="55">
        <f t="shared" si="15"/>
        <v>2840</v>
      </c>
      <c r="S44" s="56">
        <v>10.47</v>
      </c>
      <c r="T44" s="1">
        <f t="shared" si="16"/>
        <v>14.8674</v>
      </c>
      <c r="U44" s="57">
        <f t="shared" si="17"/>
        <v>29734.799999999999</v>
      </c>
      <c r="V44" s="58">
        <f t="shared" si="18"/>
        <v>3613.3838381970004</v>
      </c>
      <c r="W44" s="53">
        <f t="shared" si="19"/>
        <v>33348.183838197001</v>
      </c>
      <c r="AC44" s="1"/>
      <c r="AD44" s="59">
        <f t="shared" si="11"/>
        <v>1.8066919190985002</v>
      </c>
      <c r="AE44" s="1">
        <f t="shared" si="12"/>
        <v>16.674091919098501</v>
      </c>
      <c r="AF44" s="1">
        <v>0</v>
      </c>
    </row>
    <row r="45" spans="1:32" x14ac:dyDescent="0.25">
      <c r="A45" s="33" t="s">
        <v>25</v>
      </c>
      <c r="B45" s="2" t="s">
        <v>26</v>
      </c>
      <c r="C45" s="3">
        <v>45691</v>
      </c>
      <c r="D45" s="6" t="s">
        <v>106</v>
      </c>
      <c r="E45" s="2" t="s">
        <v>52</v>
      </c>
      <c r="F45" s="51">
        <v>1000</v>
      </c>
      <c r="G45" s="3">
        <v>45691</v>
      </c>
      <c r="H45" s="4" t="s">
        <v>107</v>
      </c>
      <c r="I45" s="2" t="s">
        <v>52</v>
      </c>
      <c r="J45" s="52">
        <v>1000</v>
      </c>
      <c r="K45" s="6">
        <f t="shared" si="14"/>
        <v>9.0042000000000009</v>
      </c>
      <c r="L45" s="53">
        <f t="shared" si="13"/>
        <v>9004.2000000000007</v>
      </c>
      <c r="M45" s="1" t="s">
        <v>108</v>
      </c>
      <c r="N45" s="3">
        <v>45681</v>
      </c>
      <c r="O45" s="2" t="s">
        <v>52</v>
      </c>
      <c r="P45" s="9">
        <v>1000</v>
      </c>
      <c r="Q45" s="54">
        <v>0.86</v>
      </c>
      <c r="R45" s="55">
        <f t="shared" si="15"/>
        <v>860</v>
      </c>
      <c r="S45" s="56">
        <v>10.47</v>
      </c>
      <c r="T45" s="1">
        <f t="shared" si="16"/>
        <v>9.0042000000000009</v>
      </c>
      <c r="U45" s="57">
        <f t="shared" si="17"/>
        <v>9004.2000000000007</v>
      </c>
      <c r="V45" s="58">
        <f t="shared" si="18"/>
        <v>1806.6919190985002</v>
      </c>
      <c r="W45" s="53">
        <f t="shared" si="19"/>
        <v>10810.891919098502</v>
      </c>
      <c r="AC45" s="1"/>
      <c r="AD45" s="59">
        <f t="shared" si="11"/>
        <v>1.8066919190985002</v>
      </c>
      <c r="AE45" s="1">
        <f t="shared" si="12"/>
        <v>10.810891919098502</v>
      </c>
      <c r="AF45" s="1">
        <v>0</v>
      </c>
    </row>
    <row r="46" spans="1:32" x14ac:dyDescent="0.25">
      <c r="A46" s="33" t="s">
        <v>25</v>
      </c>
      <c r="B46" s="2" t="s">
        <v>26</v>
      </c>
      <c r="C46" s="3">
        <v>45691</v>
      </c>
      <c r="D46" s="6" t="s">
        <v>106</v>
      </c>
      <c r="E46" s="2" t="s">
        <v>54</v>
      </c>
      <c r="F46" s="51">
        <v>1000</v>
      </c>
      <c r="G46" s="3">
        <v>45691</v>
      </c>
      <c r="H46" s="4" t="s">
        <v>107</v>
      </c>
      <c r="I46" s="2" t="s">
        <v>54</v>
      </c>
      <c r="J46" s="52">
        <v>1000</v>
      </c>
      <c r="K46" s="6">
        <f t="shared" si="14"/>
        <v>22.405800000000003</v>
      </c>
      <c r="L46" s="53">
        <f t="shared" si="13"/>
        <v>22405.800000000003</v>
      </c>
      <c r="M46" s="1" t="s">
        <v>108</v>
      </c>
      <c r="N46" s="3">
        <v>45681</v>
      </c>
      <c r="O46" s="2" t="s">
        <v>54</v>
      </c>
      <c r="P46" s="9">
        <v>1000</v>
      </c>
      <c r="Q46" s="54">
        <v>2.14</v>
      </c>
      <c r="R46" s="55">
        <f t="shared" si="15"/>
        <v>2140</v>
      </c>
      <c r="S46" s="56">
        <v>10.47</v>
      </c>
      <c r="T46" s="1">
        <f t="shared" si="16"/>
        <v>22.405800000000003</v>
      </c>
      <c r="U46" s="57">
        <f t="shared" si="17"/>
        <v>22405.800000000003</v>
      </c>
      <c r="V46" s="58">
        <f t="shared" si="18"/>
        <v>1806.6919190985002</v>
      </c>
      <c r="W46" s="53">
        <f t="shared" si="19"/>
        <v>24212.491919098502</v>
      </c>
      <c r="AC46" s="1"/>
      <c r="AD46" s="59">
        <f t="shared" si="11"/>
        <v>1.8066919190985002</v>
      </c>
      <c r="AE46" s="1">
        <f t="shared" si="12"/>
        <v>24.212491919098504</v>
      </c>
      <c r="AF46" s="1">
        <v>0</v>
      </c>
    </row>
    <row r="47" spans="1:32" x14ac:dyDescent="0.25">
      <c r="A47" s="33" t="s">
        <v>25</v>
      </c>
      <c r="B47" s="2" t="s">
        <v>26</v>
      </c>
      <c r="C47" s="3">
        <v>45691</v>
      </c>
      <c r="D47" s="6" t="s">
        <v>106</v>
      </c>
      <c r="E47" s="2" t="s">
        <v>28</v>
      </c>
      <c r="F47" s="51">
        <v>6000</v>
      </c>
      <c r="G47" s="3">
        <v>45691</v>
      </c>
      <c r="H47" s="4" t="s">
        <v>107</v>
      </c>
      <c r="I47" s="2" t="s">
        <v>28</v>
      </c>
      <c r="J47" s="52">
        <v>6000</v>
      </c>
      <c r="K47" s="6">
        <f t="shared" si="14"/>
        <v>11.517000000000001</v>
      </c>
      <c r="L47" s="53">
        <f t="shared" si="13"/>
        <v>69102.000000000015</v>
      </c>
      <c r="M47" s="1" t="s">
        <v>108</v>
      </c>
      <c r="N47" s="3">
        <v>45681</v>
      </c>
      <c r="O47" s="2" t="s">
        <v>28</v>
      </c>
      <c r="P47" s="9">
        <v>6000</v>
      </c>
      <c r="Q47" s="54">
        <v>1.1000000000000001</v>
      </c>
      <c r="R47" s="55">
        <f t="shared" si="15"/>
        <v>6600.0000000000009</v>
      </c>
      <c r="S47" s="56">
        <v>10.47</v>
      </c>
      <c r="T47" s="1">
        <f t="shared" si="16"/>
        <v>11.517000000000001</v>
      </c>
      <c r="U47" s="57">
        <f t="shared" si="17"/>
        <v>69102.000000000015</v>
      </c>
      <c r="V47" s="58">
        <f t="shared" si="18"/>
        <v>10840.151514591</v>
      </c>
      <c r="W47" s="53">
        <f t="shared" si="19"/>
        <v>79942.151514591009</v>
      </c>
      <c r="AC47" s="1"/>
      <c r="AD47" s="59">
        <f t="shared" si="11"/>
        <v>1.8066919190985</v>
      </c>
      <c r="AE47" s="1">
        <f t="shared" si="12"/>
        <v>13.323691919098501</v>
      </c>
      <c r="AF47" s="1">
        <v>0</v>
      </c>
    </row>
    <row r="48" spans="1:32" x14ac:dyDescent="0.25">
      <c r="A48" s="33" t="s">
        <v>25</v>
      </c>
      <c r="B48" s="2" t="s">
        <v>26</v>
      </c>
      <c r="C48" s="3">
        <v>45691</v>
      </c>
      <c r="D48" s="6" t="s">
        <v>106</v>
      </c>
      <c r="E48" s="2" t="s">
        <v>109</v>
      </c>
      <c r="F48" s="51">
        <v>1000</v>
      </c>
      <c r="G48" s="3">
        <v>45691</v>
      </c>
      <c r="H48" s="4" t="s">
        <v>107</v>
      </c>
      <c r="I48" s="2" t="s">
        <v>109</v>
      </c>
      <c r="J48" s="52">
        <v>1000</v>
      </c>
      <c r="K48" s="6">
        <f t="shared" si="14"/>
        <v>15.705000000000002</v>
      </c>
      <c r="L48" s="53">
        <f t="shared" si="13"/>
        <v>15705.000000000002</v>
      </c>
      <c r="M48" s="1" t="s">
        <v>108</v>
      </c>
      <c r="N48" s="3">
        <v>45681</v>
      </c>
      <c r="O48" s="2" t="s">
        <v>109</v>
      </c>
      <c r="P48" s="9">
        <v>1000</v>
      </c>
      <c r="Q48" s="54">
        <v>1.5</v>
      </c>
      <c r="R48" s="55">
        <f t="shared" si="15"/>
        <v>1500</v>
      </c>
      <c r="S48" s="56">
        <v>10.47</v>
      </c>
      <c r="T48" s="1">
        <f t="shared" si="16"/>
        <v>15.705000000000002</v>
      </c>
      <c r="U48" s="57">
        <f t="shared" si="17"/>
        <v>15705.000000000002</v>
      </c>
      <c r="V48" s="58">
        <f t="shared" si="18"/>
        <v>1806.6919190985002</v>
      </c>
      <c r="W48" s="53">
        <f t="shared" si="19"/>
        <v>17511.691919098503</v>
      </c>
      <c r="AC48" s="1"/>
      <c r="AD48" s="59">
        <f t="shared" si="11"/>
        <v>1.8066919190985002</v>
      </c>
      <c r="AE48" s="1">
        <f t="shared" si="12"/>
        <v>17.511691919098503</v>
      </c>
      <c r="AF48" s="1">
        <v>0</v>
      </c>
    </row>
    <row r="49" spans="1:32" x14ac:dyDescent="0.25">
      <c r="A49" s="33" t="s">
        <v>25</v>
      </c>
      <c r="B49" s="2" t="s">
        <v>26</v>
      </c>
      <c r="C49" s="3">
        <v>45691</v>
      </c>
      <c r="D49" s="6" t="s">
        <v>106</v>
      </c>
      <c r="E49" s="2" t="s">
        <v>58</v>
      </c>
      <c r="F49" s="51">
        <v>6600</v>
      </c>
      <c r="G49" s="3">
        <v>45691</v>
      </c>
      <c r="H49" s="4" t="s">
        <v>107</v>
      </c>
      <c r="I49" s="2" t="s">
        <v>58</v>
      </c>
      <c r="J49" s="52">
        <v>6600</v>
      </c>
      <c r="K49" s="6">
        <f t="shared" si="14"/>
        <v>7.6431000000000004</v>
      </c>
      <c r="L49" s="53">
        <f t="shared" si="13"/>
        <v>50444.460000000006</v>
      </c>
      <c r="M49" s="1" t="s">
        <v>108</v>
      </c>
      <c r="N49" s="3">
        <v>45681</v>
      </c>
      <c r="O49" s="2" t="s">
        <v>58</v>
      </c>
      <c r="P49" s="9">
        <v>6600</v>
      </c>
      <c r="Q49" s="54">
        <v>0.73</v>
      </c>
      <c r="R49" s="55">
        <f t="shared" si="15"/>
        <v>4818</v>
      </c>
      <c r="S49" s="56">
        <v>10.47</v>
      </c>
      <c r="T49" s="1">
        <f t="shared" si="16"/>
        <v>7.6431000000000004</v>
      </c>
      <c r="U49" s="57">
        <f t="shared" si="17"/>
        <v>50444.460000000006</v>
      </c>
      <c r="V49" s="58">
        <f t="shared" si="18"/>
        <v>11924.166666050101</v>
      </c>
      <c r="W49" s="53">
        <f t="shared" si="19"/>
        <v>62368.626666050106</v>
      </c>
      <c r="AC49" s="1"/>
      <c r="AD49" s="59">
        <f t="shared" si="11"/>
        <v>1.8066919190985002</v>
      </c>
      <c r="AE49" s="1">
        <f t="shared" si="12"/>
        <v>9.4497919190985016</v>
      </c>
      <c r="AF49" s="1">
        <v>0</v>
      </c>
    </row>
    <row r="50" spans="1:32" x14ac:dyDescent="0.25">
      <c r="A50" s="33" t="s">
        <v>25</v>
      </c>
      <c r="B50" s="2" t="s">
        <v>26</v>
      </c>
      <c r="C50" s="3">
        <v>45691</v>
      </c>
      <c r="D50" s="6" t="s">
        <v>106</v>
      </c>
      <c r="E50" s="2" t="s">
        <v>110</v>
      </c>
      <c r="F50" s="51">
        <v>435</v>
      </c>
      <c r="G50" s="3">
        <v>45691</v>
      </c>
      <c r="H50" s="4" t="s">
        <v>107</v>
      </c>
      <c r="I50" s="2" t="s">
        <v>110</v>
      </c>
      <c r="J50" s="52">
        <v>435</v>
      </c>
      <c r="K50" s="6">
        <f t="shared" si="14"/>
        <v>22.196400000000004</v>
      </c>
      <c r="L50" s="53">
        <f t="shared" si="13"/>
        <v>9655.4340000000011</v>
      </c>
      <c r="M50" s="1" t="s">
        <v>108</v>
      </c>
      <c r="N50" s="3">
        <v>45681</v>
      </c>
      <c r="O50" s="2" t="s">
        <v>110</v>
      </c>
      <c r="P50" s="9">
        <v>435</v>
      </c>
      <c r="Q50" s="54">
        <v>2.12</v>
      </c>
      <c r="R50" s="55">
        <f t="shared" si="15"/>
        <v>922.2</v>
      </c>
      <c r="S50" s="56">
        <v>10.47</v>
      </c>
      <c r="T50" s="1">
        <f t="shared" si="16"/>
        <v>22.196400000000004</v>
      </c>
      <c r="U50" s="57">
        <f t="shared" si="17"/>
        <v>9655.4340000000011</v>
      </c>
      <c r="V50" s="58">
        <f t="shared" si="18"/>
        <v>785.91098480784751</v>
      </c>
      <c r="W50" s="53">
        <f t="shared" si="19"/>
        <v>10441.344984807849</v>
      </c>
      <c r="AC50" s="1"/>
      <c r="AD50" s="59">
        <f t="shared" si="11"/>
        <v>1.8066919190985</v>
      </c>
      <c r="AE50" s="1">
        <f t="shared" si="12"/>
        <v>24.003091919098505</v>
      </c>
      <c r="AF50" s="1">
        <v>0</v>
      </c>
    </row>
    <row r="51" spans="1:32" x14ac:dyDescent="0.25">
      <c r="A51" s="33" t="s">
        <v>25</v>
      </c>
      <c r="B51" s="2" t="s">
        <v>26</v>
      </c>
      <c r="C51" s="3">
        <v>45691</v>
      </c>
      <c r="D51" s="6" t="s">
        <v>106</v>
      </c>
      <c r="E51" s="2" t="s">
        <v>111</v>
      </c>
      <c r="F51" s="51">
        <v>1000</v>
      </c>
      <c r="G51" s="3">
        <v>45691</v>
      </c>
      <c r="H51" s="4" t="s">
        <v>107</v>
      </c>
      <c r="I51" s="2" t="s">
        <v>111</v>
      </c>
      <c r="J51" s="52">
        <v>1000</v>
      </c>
      <c r="K51" s="6">
        <f t="shared" si="14"/>
        <v>15.705000000000002</v>
      </c>
      <c r="L51" s="53">
        <f t="shared" si="13"/>
        <v>15705.000000000002</v>
      </c>
      <c r="M51" s="1" t="s">
        <v>108</v>
      </c>
      <c r="N51" s="3">
        <v>45681</v>
      </c>
      <c r="O51" s="2" t="s">
        <v>111</v>
      </c>
      <c r="P51" s="9">
        <v>1000</v>
      </c>
      <c r="Q51" s="54">
        <v>1.5</v>
      </c>
      <c r="R51" s="55">
        <f t="shared" si="15"/>
        <v>1500</v>
      </c>
      <c r="S51" s="56">
        <v>10.47</v>
      </c>
      <c r="T51" s="1">
        <f t="shared" si="16"/>
        <v>15.705000000000002</v>
      </c>
      <c r="U51" s="57">
        <f t="shared" si="17"/>
        <v>15705.000000000002</v>
      </c>
      <c r="V51" s="58">
        <f t="shared" si="18"/>
        <v>1806.6919190985002</v>
      </c>
      <c r="W51" s="53">
        <f t="shared" si="19"/>
        <v>17511.691919098503</v>
      </c>
      <c r="AC51" s="1"/>
      <c r="AD51" s="59">
        <f t="shared" si="11"/>
        <v>1.8066919190985002</v>
      </c>
      <c r="AE51" s="1">
        <f t="shared" si="12"/>
        <v>17.511691919098503</v>
      </c>
      <c r="AF51" s="1">
        <v>0</v>
      </c>
    </row>
    <row r="52" spans="1:32" x14ac:dyDescent="0.25">
      <c r="A52" s="33" t="s">
        <v>25</v>
      </c>
      <c r="B52" s="2" t="s">
        <v>26</v>
      </c>
      <c r="C52" s="3">
        <v>45691</v>
      </c>
      <c r="D52" s="6" t="s">
        <v>106</v>
      </c>
      <c r="E52" s="2" t="s">
        <v>112</v>
      </c>
      <c r="F52" s="51">
        <v>200</v>
      </c>
      <c r="G52" s="3">
        <v>45691</v>
      </c>
      <c r="H52" s="4" t="s">
        <v>107</v>
      </c>
      <c r="I52" s="2" t="s">
        <v>112</v>
      </c>
      <c r="J52" s="52">
        <v>200</v>
      </c>
      <c r="K52" s="6">
        <f t="shared" si="14"/>
        <v>179.03700000000003</v>
      </c>
      <c r="L52" s="53">
        <f t="shared" si="13"/>
        <v>35807.400000000009</v>
      </c>
      <c r="M52" s="1" t="s">
        <v>108</v>
      </c>
      <c r="N52" s="3">
        <v>45681</v>
      </c>
      <c r="O52" s="2" t="s">
        <v>112</v>
      </c>
      <c r="P52" s="9">
        <v>200</v>
      </c>
      <c r="Q52" s="54">
        <v>17.100000000000001</v>
      </c>
      <c r="R52" s="55">
        <f t="shared" si="15"/>
        <v>3420.0000000000005</v>
      </c>
      <c r="S52" s="56">
        <v>10.47</v>
      </c>
      <c r="T52" s="1">
        <f t="shared" si="16"/>
        <v>179.03700000000003</v>
      </c>
      <c r="U52" s="57">
        <f t="shared" si="17"/>
        <v>35807.400000000009</v>
      </c>
      <c r="V52" s="58">
        <f t="shared" si="18"/>
        <v>361.33838381970003</v>
      </c>
      <c r="W52" s="53">
        <f t="shared" si="19"/>
        <v>36168.738383819706</v>
      </c>
      <c r="AC52" s="1"/>
      <c r="AD52" s="74">
        <f t="shared" si="11"/>
        <v>1.8066919190985002</v>
      </c>
      <c r="AE52" s="1">
        <f t="shared" si="12"/>
        <v>180.84369191909855</v>
      </c>
      <c r="AF52" s="1">
        <v>0</v>
      </c>
    </row>
    <row r="53" spans="1:32" x14ac:dyDescent="0.25">
      <c r="A53" s="33" t="s">
        <v>25</v>
      </c>
      <c r="B53" s="2" t="s">
        <v>26</v>
      </c>
      <c r="C53" s="3">
        <v>45691</v>
      </c>
      <c r="D53" s="6" t="s">
        <v>106</v>
      </c>
      <c r="E53" s="2" t="s">
        <v>113</v>
      </c>
      <c r="F53" s="51">
        <v>200</v>
      </c>
      <c r="G53" s="3">
        <v>45691</v>
      </c>
      <c r="H53" s="4" t="s">
        <v>107</v>
      </c>
      <c r="I53" s="2" t="s">
        <v>113</v>
      </c>
      <c r="J53" s="52">
        <v>200</v>
      </c>
      <c r="K53" s="6">
        <f t="shared" si="14"/>
        <v>119.77680000000001</v>
      </c>
      <c r="L53" s="53">
        <f t="shared" si="13"/>
        <v>23955.360000000001</v>
      </c>
      <c r="M53" s="1" t="s">
        <v>108</v>
      </c>
      <c r="N53" s="3">
        <v>45681</v>
      </c>
      <c r="O53" s="2" t="s">
        <v>113</v>
      </c>
      <c r="P53" s="9">
        <v>200</v>
      </c>
      <c r="Q53" s="54">
        <v>11.44</v>
      </c>
      <c r="R53" s="55">
        <f t="shared" si="15"/>
        <v>2288</v>
      </c>
      <c r="S53" s="56">
        <v>10.47</v>
      </c>
      <c r="T53" s="1">
        <f t="shared" si="16"/>
        <v>119.77680000000001</v>
      </c>
      <c r="U53" s="57">
        <f t="shared" si="17"/>
        <v>23955.360000000001</v>
      </c>
      <c r="V53" s="58">
        <f t="shared" si="18"/>
        <v>361.33838381970003</v>
      </c>
      <c r="W53" s="53">
        <f t="shared" si="19"/>
        <v>24316.698383819701</v>
      </c>
      <c r="AC53" s="1"/>
      <c r="AD53" s="59">
        <f t="shared" si="11"/>
        <v>1.8066919190985002</v>
      </c>
      <c r="AE53" s="1">
        <f t="shared" si="12"/>
        <v>121.58349191909851</v>
      </c>
      <c r="AF53" s="1">
        <v>0</v>
      </c>
    </row>
    <row r="54" spans="1:32" x14ac:dyDescent="0.25">
      <c r="A54" s="33" t="s">
        <v>25</v>
      </c>
      <c r="B54" s="2" t="s">
        <v>26</v>
      </c>
      <c r="C54" s="3">
        <v>45691</v>
      </c>
      <c r="D54" s="6" t="s">
        <v>106</v>
      </c>
      <c r="E54" s="2" t="s">
        <v>68</v>
      </c>
      <c r="F54" s="51">
        <v>150</v>
      </c>
      <c r="G54" s="3">
        <v>45691</v>
      </c>
      <c r="H54" s="4" t="s">
        <v>107</v>
      </c>
      <c r="I54" s="2" t="s">
        <v>68</v>
      </c>
      <c r="J54" s="52">
        <v>150</v>
      </c>
      <c r="K54" s="6">
        <f t="shared" si="14"/>
        <v>45.858600000000003</v>
      </c>
      <c r="L54" s="53">
        <f t="shared" si="13"/>
        <v>6878.79</v>
      </c>
      <c r="M54" s="1" t="s">
        <v>108</v>
      </c>
      <c r="N54" s="3">
        <v>45681</v>
      </c>
      <c r="O54" s="2" t="s">
        <v>68</v>
      </c>
      <c r="P54" s="9">
        <v>150</v>
      </c>
      <c r="Q54" s="54">
        <v>4.38</v>
      </c>
      <c r="R54" s="55">
        <f t="shared" si="15"/>
        <v>657</v>
      </c>
      <c r="S54" s="56">
        <v>10.47</v>
      </c>
      <c r="T54" s="1">
        <f t="shared" si="16"/>
        <v>45.858600000000003</v>
      </c>
      <c r="U54" s="57">
        <f t="shared" si="17"/>
        <v>6878.79</v>
      </c>
      <c r="V54" s="58">
        <f t="shared" si="18"/>
        <v>271.00378786477501</v>
      </c>
      <c r="W54" s="53">
        <f t="shared" si="19"/>
        <v>7149.7937878647754</v>
      </c>
      <c r="AC54" s="1"/>
      <c r="AD54" s="59">
        <f t="shared" si="11"/>
        <v>1.8066919190985</v>
      </c>
      <c r="AE54" s="1">
        <f t="shared" si="12"/>
        <v>47.6652919190985</v>
      </c>
      <c r="AF54" s="1">
        <v>0</v>
      </c>
    </row>
    <row r="55" spans="1:32" x14ac:dyDescent="0.25">
      <c r="A55" s="33" t="s">
        <v>25</v>
      </c>
      <c r="B55" s="2" t="s">
        <v>26</v>
      </c>
      <c r="C55" s="3">
        <v>45691</v>
      </c>
      <c r="D55" s="6" t="s">
        <v>106</v>
      </c>
      <c r="E55" s="2" t="s">
        <v>114</v>
      </c>
      <c r="F55" s="51">
        <v>900</v>
      </c>
      <c r="G55" s="3">
        <v>45691</v>
      </c>
      <c r="H55" s="4" t="s">
        <v>107</v>
      </c>
      <c r="I55" s="2" t="s">
        <v>114</v>
      </c>
      <c r="J55" s="52">
        <v>900</v>
      </c>
      <c r="K55" s="6">
        <f t="shared" si="14"/>
        <v>19.893000000000001</v>
      </c>
      <c r="L55" s="53">
        <f t="shared" si="13"/>
        <v>17903.7</v>
      </c>
      <c r="M55" s="1" t="s">
        <v>108</v>
      </c>
      <c r="N55" s="3">
        <v>45681</v>
      </c>
      <c r="O55" s="2" t="s">
        <v>114</v>
      </c>
      <c r="P55" s="9">
        <v>900</v>
      </c>
      <c r="Q55" s="54">
        <v>1.9</v>
      </c>
      <c r="R55" s="55">
        <f t="shared" si="15"/>
        <v>1710</v>
      </c>
      <c r="S55" s="56">
        <v>10.47</v>
      </c>
      <c r="T55" s="1">
        <f t="shared" si="16"/>
        <v>19.893000000000001</v>
      </c>
      <c r="U55" s="57">
        <f t="shared" si="17"/>
        <v>17903.7</v>
      </c>
      <c r="V55" s="58">
        <f t="shared" si="18"/>
        <v>1626.0227271886499</v>
      </c>
      <c r="W55" s="53">
        <f t="shared" si="19"/>
        <v>19529.722727188651</v>
      </c>
      <c r="AC55" s="1"/>
      <c r="AD55" s="59">
        <f t="shared" si="11"/>
        <v>1.8066919190985</v>
      </c>
      <c r="AE55" s="1">
        <f t="shared" si="12"/>
        <v>21.699691919098502</v>
      </c>
      <c r="AF55" s="1">
        <v>0</v>
      </c>
    </row>
    <row r="56" spans="1:32" x14ac:dyDescent="0.25">
      <c r="A56" s="33" t="s">
        <v>25</v>
      </c>
      <c r="B56" s="60" t="s">
        <v>26</v>
      </c>
      <c r="C56" s="61">
        <v>45691</v>
      </c>
      <c r="D56" s="65" t="s">
        <v>106</v>
      </c>
      <c r="E56" s="60" t="s">
        <v>66</v>
      </c>
      <c r="F56" s="62">
        <v>325</v>
      </c>
      <c r="G56" s="61">
        <v>45691</v>
      </c>
      <c r="H56" s="63" t="s">
        <v>107</v>
      </c>
      <c r="I56" s="60" t="s">
        <v>66</v>
      </c>
      <c r="J56" s="64">
        <v>325</v>
      </c>
      <c r="K56" s="65">
        <f t="shared" si="14"/>
        <v>68.055000000000007</v>
      </c>
      <c r="L56" s="66">
        <f t="shared" si="13"/>
        <v>22117.875000000004</v>
      </c>
      <c r="M56" s="67" t="s">
        <v>108</v>
      </c>
      <c r="N56" s="61">
        <v>45681</v>
      </c>
      <c r="O56" s="60" t="s">
        <v>66</v>
      </c>
      <c r="P56" s="31">
        <v>325</v>
      </c>
      <c r="Q56" s="68">
        <v>6.5</v>
      </c>
      <c r="R56" s="69">
        <f t="shared" si="15"/>
        <v>2112.5</v>
      </c>
      <c r="S56" s="70">
        <v>10.47</v>
      </c>
      <c r="T56" s="67">
        <f t="shared" si="16"/>
        <v>68.055000000000007</v>
      </c>
      <c r="U56" s="71">
        <f t="shared" si="17"/>
        <v>22117.875000000004</v>
      </c>
      <c r="V56" s="72">
        <f t="shared" si="18"/>
        <v>587.17487370701247</v>
      </c>
      <c r="W56" s="66">
        <f t="shared" si="19"/>
        <v>22705.049873707016</v>
      </c>
      <c r="X56" s="67"/>
      <c r="Y56" s="62"/>
      <c r="Z56" s="67"/>
      <c r="AA56" s="67"/>
      <c r="AB56" s="67"/>
      <c r="AC56" s="67"/>
      <c r="AD56" s="91">
        <f t="shared" si="11"/>
        <v>1.8066919190984998</v>
      </c>
      <c r="AE56" s="67">
        <f t="shared" si="12"/>
        <v>69.861691919098504</v>
      </c>
      <c r="AF56" s="67">
        <v>0</v>
      </c>
    </row>
    <row r="57" spans="1:32" x14ac:dyDescent="0.25">
      <c r="A57" s="49" t="s">
        <v>31</v>
      </c>
      <c r="B57" s="76" t="s">
        <v>101</v>
      </c>
      <c r="C57" s="77">
        <v>45672</v>
      </c>
      <c r="D57" s="50" t="s">
        <v>115</v>
      </c>
      <c r="E57" s="76" t="s">
        <v>105</v>
      </c>
      <c r="F57" s="78">
        <v>3000</v>
      </c>
      <c r="G57" s="77">
        <v>45696</v>
      </c>
      <c r="H57" s="79" t="s">
        <v>116</v>
      </c>
      <c r="I57" s="76" t="s">
        <v>105</v>
      </c>
      <c r="J57" s="80">
        <v>3000</v>
      </c>
      <c r="K57" s="50">
        <v>13.5</v>
      </c>
      <c r="L57" s="81">
        <f t="shared" si="13"/>
        <v>40500</v>
      </c>
      <c r="M57" s="82" t="s">
        <v>117</v>
      </c>
      <c r="N57" s="77">
        <v>45713</v>
      </c>
      <c r="O57" s="76" t="s">
        <v>105</v>
      </c>
      <c r="P57" s="83">
        <v>3000</v>
      </c>
      <c r="Q57" s="84"/>
      <c r="R57" s="85"/>
      <c r="S57" s="86"/>
      <c r="T57" s="82">
        <v>13.5</v>
      </c>
      <c r="U57" s="87">
        <f>T57*P57</f>
        <v>40500</v>
      </c>
      <c r="V57" s="88"/>
      <c r="W57" s="81"/>
      <c r="X57" s="82"/>
      <c r="Y57" s="78"/>
      <c r="Z57" s="82"/>
      <c r="AA57" s="82"/>
      <c r="AB57" s="82"/>
      <c r="AC57" s="82"/>
      <c r="AD57" s="92">
        <f>V57/P57</f>
        <v>0</v>
      </c>
      <c r="AE57" s="93">
        <f>T57+AD57</f>
        <v>13.5</v>
      </c>
      <c r="AF57" s="82">
        <v>0</v>
      </c>
    </row>
    <row r="58" spans="1:32" x14ac:dyDescent="0.25">
      <c r="A58" s="49" t="s">
        <v>31</v>
      </c>
      <c r="B58" s="76" t="s">
        <v>70</v>
      </c>
      <c r="C58" s="77">
        <v>45702</v>
      </c>
      <c r="D58" s="50" t="s">
        <v>118</v>
      </c>
      <c r="E58" s="76" t="s">
        <v>72</v>
      </c>
      <c r="F58" s="82">
        <v>16000</v>
      </c>
      <c r="G58" s="77">
        <v>45702</v>
      </c>
      <c r="H58" s="79" t="s">
        <v>119</v>
      </c>
      <c r="I58" s="76" t="s">
        <v>72</v>
      </c>
      <c r="J58" s="80">
        <v>17900</v>
      </c>
      <c r="K58" s="50">
        <v>0.4</v>
      </c>
      <c r="L58" s="87">
        <f t="shared" si="13"/>
        <v>7160</v>
      </c>
      <c r="M58" s="82">
        <v>535</v>
      </c>
      <c r="N58" s="77">
        <v>45707</v>
      </c>
      <c r="O58" s="76" t="s">
        <v>72</v>
      </c>
      <c r="P58" s="83">
        <v>17900</v>
      </c>
      <c r="Q58" s="84"/>
      <c r="R58" s="85"/>
      <c r="S58" s="86"/>
      <c r="T58" s="82">
        <v>0.4</v>
      </c>
      <c r="U58" s="87">
        <f t="shared" ref="U58:U65" si="20">T58*P58</f>
        <v>7160</v>
      </c>
      <c r="V58" s="88">
        <v>300</v>
      </c>
      <c r="W58" s="81">
        <f>+V58+U58</f>
        <v>7460</v>
      </c>
      <c r="X58" s="82"/>
      <c r="Y58" s="78"/>
      <c r="Z58" s="82"/>
      <c r="AA58" s="82"/>
      <c r="AB58" s="82"/>
      <c r="AC58" s="82"/>
      <c r="AD58" s="92">
        <f t="shared" si="11"/>
        <v>1.6759776536312849E-2</v>
      </c>
      <c r="AE58" s="82">
        <f t="shared" si="12"/>
        <v>0.41675977653631285</v>
      </c>
      <c r="AF58" s="82">
        <v>0</v>
      </c>
    </row>
    <row r="59" spans="1:32" s="82" customFormat="1" x14ac:dyDescent="0.25">
      <c r="A59" s="94" t="s">
        <v>31</v>
      </c>
      <c r="B59" s="76" t="s">
        <v>78</v>
      </c>
      <c r="C59" s="77">
        <v>45708</v>
      </c>
      <c r="D59" s="50" t="s">
        <v>118</v>
      </c>
      <c r="E59" s="76" t="s">
        <v>80</v>
      </c>
      <c r="F59" s="82">
        <v>5400</v>
      </c>
      <c r="G59" s="95">
        <v>45708</v>
      </c>
      <c r="H59" s="79" t="s">
        <v>120</v>
      </c>
      <c r="I59" s="76" t="s">
        <v>80</v>
      </c>
      <c r="J59" s="80">
        <v>5400</v>
      </c>
      <c r="K59" s="50">
        <v>4</v>
      </c>
      <c r="L59" s="87">
        <f t="shared" ref="L59:L66" si="21">+K59*J59</f>
        <v>21600</v>
      </c>
      <c r="M59" s="89" t="s">
        <v>121</v>
      </c>
      <c r="N59" s="77">
        <v>45707</v>
      </c>
      <c r="O59" s="76" t="s">
        <v>80</v>
      </c>
      <c r="P59" s="83">
        <v>5400</v>
      </c>
      <c r="Q59" s="84"/>
      <c r="R59" s="85"/>
      <c r="S59" s="86"/>
      <c r="T59" s="82">
        <v>4</v>
      </c>
      <c r="U59" s="87">
        <f t="shared" si="20"/>
        <v>21600</v>
      </c>
      <c r="V59" s="88">
        <v>4320</v>
      </c>
      <c r="W59" s="81">
        <f t="shared" ref="W59:W65" si="22">V59+U59</f>
        <v>25920</v>
      </c>
      <c r="Y59" s="78"/>
      <c r="AD59" s="89">
        <f t="shared" si="11"/>
        <v>0.8</v>
      </c>
      <c r="AE59" s="82">
        <f t="shared" si="12"/>
        <v>4.8</v>
      </c>
      <c r="AF59" s="82">
        <v>0</v>
      </c>
    </row>
    <row r="60" spans="1:32" x14ac:dyDescent="0.25">
      <c r="A60" s="49" t="s">
        <v>31</v>
      </c>
      <c r="B60" s="2" t="s">
        <v>78</v>
      </c>
      <c r="C60" s="3">
        <v>45708</v>
      </c>
      <c r="D60" s="6" t="s">
        <v>118</v>
      </c>
      <c r="E60" s="2" t="s">
        <v>83</v>
      </c>
      <c r="F60" s="1">
        <v>2000</v>
      </c>
      <c r="G60" s="96">
        <v>45708</v>
      </c>
      <c r="H60" s="97" t="s">
        <v>120</v>
      </c>
      <c r="I60" s="2" t="s">
        <v>83</v>
      </c>
      <c r="J60" s="52">
        <v>2000</v>
      </c>
      <c r="K60" s="6">
        <v>5</v>
      </c>
      <c r="L60" s="57">
        <f t="shared" si="21"/>
        <v>10000</v>
      </c>
      <c r="M60" s="59" t="s">
        <v>121</v>
      </c>
      <c r="N60" s="3">
        <v>45707</v>
      </c>
      <c r="O60" s="2" t="s">
        <v>83</v>
      </c>
      <c r="P60" s="9">
        <v>2000</v>
      </c>
      <c r="Q60" s="54"/>
      <c r="R60" s="55"/>
      <c r="S60" s="56"/>
      <c r="T60" s="1">
        <v>5</v>
      </c>
      <c r="U60" s="57">
        <f t="shared" si="20"/>
        <v>10000</v>
      </c>
      <c r="V60" s="58">
        <v>2000</v>
      </c>
      <c r="W60" s="57">
        <f t="shared" si="22"/>
        <v>12000</v>
      </c>
      <c r="Y60" s="1"/>
      <c r="AC60" s="1"/>
      <c r="AD60" s="74">
        <f t="shared" si="11"/>
        <v>1</v>
      </c>
      <c r="AE60" s="98">
        <f t="shared" si="12"/>
        <v>6</v>
      </c>
      <c r="AF60" s="1">
        <v>0</v>
      </c>
    </row>
    <row r="61" spans="1:32" x14ac:dyDescent="0.25">
      <c r="A61" s="49" t="s">
        <v>31</v>
      </c>
      <c r="B61" s="2" t="s">
        <v>78</v>
      </c>
      <c r="C61" s="3">
        <v>45708</v>
      </c>
      <c r="D61" s="6" t="s">
        <v>118</v>
      </c>
      <c r="E61" s="2" t="s">
        <v>84</v>
      </c>
      <c r="F61" s="1">
        <v>1000</v>
      </c>
      <c r="G61" s="96">
        <v>45708</v>
      </c>
      <c r="H61" s="99" t="s">
        <v>120</v>
      </c>
      <c r="I61" s="2" t="s">
        <v>84</v>
      </c>
      <c r="J61" s="52">
        <v>1000</v>
      </c>
      <c r="K61" s="6">
        <v>4.3</v>
      </c>
      <c r="L61" s="57">
        <f t="shared" si="21"/>
        <v>4300</v>
      </c>
      <c r="M61" s="59" t="s">
        <v>121</v>
      </c>
      <c r="N61" s="3">
        <v>45707</v>
      </c>
      <c r="O61" s="2" t="s">
        <v>84</v>
      </c>
      <c r="P61" s="9">
        <v>1000</v>
      </c>
      <c r="Q61" s="54"/>
      <c r="R61" s="55"/>
      <c r="S61" s="56"/>
      <c r="T61" s="1">
        <v>4.3</v>
      </c>
      <c r="U61" s="57">
        <f t="shared" si="20"/>
        <v>4300</v>
      </c>
      <c r="V61" s="58">
        <v>860</v>
      </c>
      <c r="W61" s="57">
        <f t="shared" si="22"/>
        <v>5160</v>
      </c>
      <c r="Y61" s="1"/>
      <c r="AC61" s="1"/>
      <c r="AD61" s="59">
        <f t="shared" si="11"/>
        <v>0.86</v>
      </c>
      <c r="AE61" s="1">
        <f t="shared" si="12"/>
        <v>5.16</v>
      </c>
      <c r="AF61" s="1">
        <v>0</v>
      </c>
    </row>
    <row r="62" spans="1:32" x14ac:dyDescent="0.25">
      <c r="A62" s="49" t="s">
        <v>31</v>
      </c>
      <c r="B62" s="2" t="s">
        <v>78</v>
      </c>
      <c r="C62" s="3">
        <v>45708</v>
      </c>
      <c r="D62" s="6" t="s">
        <v>118</v>
      </c>
      <c r="E62" s="2" t="s">
        <v>85</v>
      </c>
      <c r="F62" s="1">
        <v>1000</v>
      </c>
      <c r="G62" s="96">
        <v>45708</v>
      </c>
      <c r="H62" s="4" t="s">
        <v>120</v>
      </c>
      <c r="I62" s="2" t="s">
        <v>85</v>
      </c>
      <c r="J62" s="52">
        <v>0</v>
      </c>
      <c r="K62" s="6">
        <v>0</v>
      </c>
      <c r="L62" s="57">
        <f t="shared" si="21"/>
        <v>0</v>
      </c>
      <c r="M62" s="59" t="s">
        <v>121</v>
      </c>
      <c r="N62" s="3">
        <v>45707</v>
      </c>
      <c r="O62" s="2" t="s">
        <v>85</v>
      </c>
      <c r="P62" s="9">
        <v>0</v>
      </c>
      <c r="Q62" s="54"/>
      <c r="R62" s="55"/>
      <c r="S62" s="56"/>
      <c r="T62" s="1">
        <v>0</v>
      </c>
      <c r="U62" s="57">
        <f t="shared" si="20"/>
        <v>0</v>
      </c>
      <c r="V62" s="58">
        <v>0</v>
      </c>
      <c r="W62" s="57">
        <f t="shared" si="22"/>
        <v>0</v>
      </c>
      <c r="Y62" s="1"/>
      <c r="AC62" s="1"/>
      <c r="AD62" s="59" t="e">
        <f t="shared" si="11"/>
        <v>#DIV/0!</v>
      </c>
      <c r="AE62" s="1" t="e">
        <f t="shared" si="12"/>
        <v>#DIV/0!</v>
      </c>
      <c r="AF62" s="1">
        <v>0</v>
      </c>
    </row>
    <row r="63" spans="1:32" x14ac:dyDescent="0.25">
      <c r="A63" s="49" t="s">
        <v>31</v>
      </c>
      <c r="B63" s="60" t="s">
        <v>78</v>
      </c>
      <c r="C63" s="61">
        <v>45708</v>
      </c>
      <c r="D63" s="65" t="s">
        <v>118</v>
      </c>
      <c r="E63" s="60" t="s">
        <v>122</v>
      </c>
      <c r="F63" s="67">
        <v>1000</v>
      </c>
      <c r="G63" s="75">
        <v>45708</v>
      </c>
      <c r="H63" s="63" t="s">
        <v>120</v>
      </c>
      <c r="I63" s="60" t="s">
        <v>122</v>
      </c>
      <c r="J63" s="64">
        <v>1000</v>
      </c>
      <c r="K63" s="65">
        <v>6</v>
      </c>
      <c r="L63" s="71">
        <f t="shared" si="21"/>
        <v>6000</v>
      </c>
      <c r="M63" s="73" t="s">
        <v>121</v>
      </c>
      <c r="N63" s="61">
        <v>45707</v>
      </c>
      <c r="O63" s="60" t="s">
        <v>122</v>
      </c>
      <c r="P63" s="31">
        <v>1000</v>
      </c>
      <c r="Q63" s="68"/>
      <c r="R63" s="69"/>
      <c r="S63" s="70"/>
      <c r="T63" s="67">
        <v>6</v>
      </c>
      <c r="U63" s="71">
        <f t="shared" si="20"/>
        <v>6000</v>
      </c>
      <c r="V63" s="72">
        <v>1200</v>
      </c>
      <c r="W63" s="71">
        <f t="shared" si="22"/>
        <v>7200</v>
      </c>
      <c r="X63" s="67"/>
      <c r="Y63" s="67"/>
      <c r="Z63" s="67"/>
      <c r="AA63" s="67"/>
      <c r="AB63" s="67"/>
      <c r="AC63" s="67"/>
      <c r="AD63" s="73">
        <f t="shared" si="11"/>
        <v>1.2</v>
      </c>
      <c r="AE63" s="67">
        <f t="shared" si="12"/>
        <v>7.2</v>
      </c>
      <c r="AF63" s="67">
        <v>0</v>
      </c>
    </row>
    <row r="64" spans="1:32" x14ac:dyDescent="0.25">
      <c r="A64" s="49" t="s">
        <v>31</v>
      </c>
      <c r="B64" s="76" t="s">
        <v>74</v>
      </c>
      <c r="C64" s="77">
        <v>45672</v>
      </c>
      <c r="D64" s="50" t="s">
        <v>123</v>
      </c>
      <c r="E64" s="76" t="s">
        <v>77</v>
      </c>
      <c r="F64" s="82">
        <v>6000</v>
      </c>
      <c r="G64" s="95">
        <v>45708</v>
      </c>
      <c r="H64" s="79" t="s">
        <v>124</v>
      </c>
      <c r="I64" s="76" t="s">
        <v>77</v>
      </c>
      <c r="J64" s="80">
        <v>6000</v>
      </c>
      <c r="K64" s="50">
        <v>12.3</v>
      </c>
      <c r="L64" s="87">
        <f t="shared" si="21"/>
        <v>73800</v>
      </c>
      <c r="M64" s="89">
        <v>144281</v>
      </c>
      <c r="N64" s="77">
        <v>45688</v>
      </c>
      <c r="O64" s="76" t="s">
        <v>77</v>
      </c>
      <c r="P64" s="80">
        <v>6000</v>
      </c>
      <c r="Q64" s="84"/>
      <c r="R64" s="85"/>
      <c r="S64" s="86"/>
      <c r="T64" s="82">
        <v>12.3</v>
      </c>
      <c r="U64" s="87">
        <f t="shared" si="20"/>
        <v>73800</v>
      </c>
      <c r="V64" s="88">
        <v>14760</v>
      </c>
      <c r="W64" s="87">
        <f t="shared" si="22"/>
        <v>88560</v>
      </c>
      <c r="X64" s="82"/>
      <c r="Y64" s="82"/>
      <c r="Z64" s="82"/>
      <c r="AA64" s="82"/>
      <c r="AB64" s="82"/>
      <c r="AC64" s="82"/>
      <c r="AD64" s="89">
        <f t="shared" si="11"/>
        <v>2.46</v>
      </c>
      <c r="AE64" s="82">
        <f t="shared" si="12"/>
        <v>14.760000000000002</v>
      </c>
      <c r="AF64" s="82">
        <v>0</v>
      </c>
    </row>
    <row r="65" spans="1:32" x14ac:dyDescent="0.25">
      <c r="A65" s="49" t="s">
        <v>31</v>
      </c>
      <c r="B65" s="60" t="s">
        <v>74</v>
      </c>
      <c r="C65" s="61">
        <v>45672</v>
      </c>
      <c r="D65" s="65" t="s">
        <v>123</v>
      </c>
      <c r="E65" s="60" t="s">
        <v>125</v>
      </c>
      <c r="F65" s="67">
        <v>3600</v>
      </c>
      <c r="G65" s="75">
        <v>45708</v>
      </c>
      <c r="H65" s="63" t="s">
        <v>124</v>
      </c>
      <c r="I65" s="60" t="s">
        <v>125</v>
      </c>
      <c r="J65" s="64">
        <v>3600</v>
      </c>
      <c r="K65" s="65">
        <v>10.95</v>
      </c>
      <c r="L65" s="71">
        <f t="shared" si="21"/>
        <v>39420</v>
      </c>
      <c r="M65" s="73">
        <v>144281</v>
      </c>
      <c r="N65" s="61">
        <v>45688</v>
      </c>
      <c r="O65" s="60" t="s">
        <v>125</v>
      </c>
      <c r="P65" s="64">
        <v>3600</v>
      </c>
      <c r="Q65" s="68"/>
      <c r="R65" s="69"/>
      <c r="S65" s="70"/>
      <c r="T65" s="67">
        <v>10.95</v>
      </c>
      <c r="U65" s="71">
        <f t="shared" si="20"/>
        <v>39420</v>
      </c>
      <c r="V65" s="72">
        <v>7884</v>
      </c>
      <c r="W65" s="71">
        <f t="shared" si="22"/>
        <v>47304</v>
      </c>
      <c r="X65" s="67"/>
      <c r="Y65" s="67"/>
      <c r="Z65" s="67"/>
      <c r="AA65" s="67"/>
      <c r="AB65" s="67"/>
      <c r="AC65" s="67"/>
      <c r="AD65" s="73">
        <f t="shared" si="11"/>
        <v>2.19</v>
      </c>
      <c r="AE65" s="67">
        <f t="shared" si="12"/>
        <v>13.139999999999999</v>
      </c>
      <c r="AF65" s="67">
        <v>0</v>
      </c>
    </row>
    <row r="66" spans="1:32" x14ac:dyDescent="0.25">
      <c r="A66" s="49" t="s">
        <v>31</v>
      </c>
      <c r="B66" s="34" t="s">
        <v>101</v>
      </c>
      <c r="C66" s="35">
        <v>45707</v>
      </c>
      <c r="D66" s="36" t="s">
        <v>126</v>
      </c>
      <c r="E66" s="34" t="s">
        <v>125</v>
      </c>
      <c r="F66" s="41">
        <v>3500</v>
      </c>
      <c r="G66" s="100">
        <v>45708</v>
      </c>
      <c r="H66" s="38" t="s">
        <v>127</v>
      </c>
      <c r="I66" s="34" t="s">
        <v>125</v>
      </c>
      <c r="J66" s="39">
        <v>3185</v>
      </c>
      <c r="K66" s="36">
        <v>12.5</v>
      </c>
      <c r="L66" s="46">
        <f t="shared" si="21"/>
        <v>39812.5</v>
      </c>
      <c r="M66" s="48" t="s">
        <v>117</v>
      </c>
      <c r="N66" s="35">
        <v>45713</v>
      </c>
      <c r="O66" s="34" t="s">
        <v>125</v>
      </c>
      <c r="P66" s="42">
        <v>3185</v>
      </c>
      <c r="Q66" s="43"/>
      <c r="R66" s="44"/>
      <c r="S66" s="45"/>
      <c r="T66" s="41">
        <v>12.5</v>
      </c>
      <c r="U66" s="46">
        <f>T66*P66</f>
        <v>39812.5</v>
      </c>
      <c r="V66" s="47"/>
      <c r="W66" s="46"/>
      <c r="X66" s="41"/>
      <c r="Y66" s="41"/>
      <c r="Z66" s="41"/>
      <c r="AA66" s="41"/>
      <c r="AB66" s="41"/>
      <c r="AC66" s="41"/>
      <c r="AD66" s="48">
        <f t="shared" si="11"/>
        <v>0</v>
      </c>
      <c r="AE66" s="41">
        <f t="shared" si="12"/>
        <v>12.5</v>
      </c>
      <c r="AF66" s="41">
        <v>0</v>
      </c>
    </row>
    <row r="67" spans="1:32" x14ac:dyDescent="0.25">
      <c r="A67" s="49" t="s">
        <v>31</v>
      </c>
      <c r="B67" s="34" t="s">
        <v>74</v>
      </c>
      <c r="C67" s="35">
        <v>45672</v>
      </c>
      <c r="D67" s="41" t="s">
        <v>123</v>
      </c>
      <c r="E67" s="34" t="s">
        <v>128</v>
      </c>
      <c r="F67" s="37">
        <v>22000</v>
      </c>
      <c r="G67" s="35">
        <v>45709</v>
      </c>
      <c r="H67" s="38" t="s">
        <v>129</v>
      </c>
      <c r="I67" s="34" t="s">
        <v>128</v>
      </c>
      <c r="J67" s="39">
        <v>22000</v>
      </c>
      <c r="K67" s="36">
        <v>10.3</v>
      </c>
      <c r="L67" s="40">
        <f t="shared" ref="L67:L87" si="23">K67*J67</f>
        <v>226600.00000000003</v>
      </c>
      <c r="M67" s="41">
        <v>144793</v>
      </c>
      <c r="N67" s="35">
        <v>45716</v>
      </c>
      <c r="O67" s="34" t="s">
        <v>128</v>
      </c>
      <c r="P67" s="42">
        <v>22000</v>
      </c>
      <c r="Q67" s="43"/>
      <c r="R67" s="44"/>
      <c r="S67" s="43"/>
      <c r="T67" s="41">
        <v>10.3</v>
      </c>
      <c r="U67" s="46">
        <f t="shared" ref="U67:U72" si="24">T67*P67</f>
        <v>226600.00000000003</v>
      </c>
      <c r="V67" s="47">
        <v>45320</v>
      </c>
      <c r="W67" s="40">
        <f>V67+U67</f>
        <v>271920</v>
      </c>
      <c r="X67" s="41"/>
      <c r="Y67" s="37"/>
      <c r="Z67" s="41"/>
      <c r="AA67" s="41"/>
      <c r="AB67" s="41"/>
      <c r="AC67" s="37"/>
      <c r="AD67" s="101">
        <f t="shared" si="11"/>
        <v>2.06</v>
      </c>
      <c r="AE67" s="101">
        <f t="shared" si="12"/>
        <v>12.360000000000001</v>
      </c>
      <c r="AF67" s="41">
        <v>0</v>
      </c>
    </row>
    <row r="68" spans="1:32" x14ac:dyDescent="0.25">
      <c r="A68" s="33" t="s">
        <v>25</v>
      </c>
      <c r="B68" s="2" t="s">
        <v>26</v>
      </c>
      <c r="C68" s="3">
        <v>45691</v>
      </c>
      <c r="D68" s="1" t="s">
        <v>130</v>
      </c>
      <c r="E68" s="2" t="s">
        <v>131</v>
      </c>
      <c r="F68" s="51">
        <v>10000</v>
      </c>
      <c r="G68" s="3">
        <v>45709</v>
      </c>
      <c r="H68" s="4" t="s">
        <v>132</v>
      </c>
      <c r="I68" s="2" t="s">
        <v>131</v>
      </c>
      <c r="J68" s="52">
        <v>10000</v>
      </c>
      <c r="K68" s="6">
        <f>T68</f>
        <v>7.8224999999999998</v>
      </c>
      <c r="L68" s="53">
        <f t="shared" si="23"/>
        <v>78225</v>
      </c>
      <c r="M68" s="1" t="s">
        <v>133</v>
      </c>
      <c r="N68" s="3">
        <v>45695</v>
      </c>
      <c r="O68" s="2" t="s">
        <v>131</v>
      </c>
      <c r="P68" s="9">
        <v>10000</v>
      </c>
      <c r="Q68" s="54">
        <v>0.75</v>
      </c>
      <c r="R68" s="55">
        <f>P68*Q68</f>
        <v>7500</v>
      </c>
      <c r="S68" s="56">
        <v>10.43</v>
      </c>
      <c r="T68" s="1">
        <f>Q68*S68</f>
        <v>7.8224999999999998</v>
      </c>
      <c r="U68" s="57">
        <f t="shared" si="24"/>
        <v>78225</v>
      </c>
      <c r="V68" s="58">
        <f>((0.11538461538)*P68)*S68</f>
        <v>12034.615384133998</v>
      </c>
      <c r="W68" s="53">
        <f>U68+V68</f>
        <v>90259.615384133998</v>
      </c>
      <c r="AD68" s="1">
        <f t="shared" si="11"/>
        <v>1.2034615384133998</v>
      </c>
      <c r="AE68" s="1">
        <f t="shared" si="12"/>
        <v>9.0259615384133998</v>
      </c>
      <c r="AF68" s="1">
        <v>0</v>
      </c>
    </row>
    <row r="69" spans="1:32" x14ac:dyDescent="0.25">
      <c r="A69" s="33" t="s">
        <v>25</v>
      </c>
      <c r="B69" s="2" t="s">
        <v>47</v>
      </c>
      <c r="C69" s="3">
        <v>45691</v>
      </c>
      <c r="D69" s="1" t="s">
        <v>130</v>
      </c>
      <c r="E69" s="2" t="s">
        <v>134</v>
      </c>
      <c r="F69" s="51">
        <v>2200</v>
      </c>
      <c r="G69" s="3">
        <v>45709</v>
      </c>
      <c r="H69" s="4" t="s">
        <v>132</v>
      </c>
      <c r="I69" s="2" t="s">
        <v>134</v>
      </c>
      <c r="J69" s="52">
        <v>2200</v>
      </c>
      <c r="K69" s="6">
        <f>T69</f>
        <v>20.86</v>
      </c>
      <c r="L69" s="53">
        <f t="shared" si="23"/>
        <v>45892</v>
      </c>
      <c r="M69" s="1" t="s">
        <v>133</v>
      </c>
      <c r="N69" s="3">
        <v>45695</v>
      </c>
      <c r="O69" s="2" t="s">
        <v>134</v>
      </c>
      <c r="P69" s="9">
        <v>2200</v>
      </c>
      <c r="Q69" s="54">
        <v>2</v>
      </c>
      <c r="R69" s="55">
        <f>P69*Q69</f>
        <v>4400</v>
      </c>
      <c r="S69" s="56">
        <v>10.43</v>
      </c>
      <c r="T69" s="1">
        <f>Q69*S69</f>
        <v>20.86</v>
      </c>
      <c r="U69" s="57">
        <f t="shared" si="24"/>
        <v>45892</v>
      </c>
      <c r="V69" s="58">
        <f>((0.11538461538)*P69)*S69</f>
        <v>2647.6153845094796</v>
      </c>
      <c r="W69" s="53">
        <f>U69+V69</f>
        <v>48539.615384509481</v>
      </c>
      <c r="AD69" s="98">
        <f t="shared" si="11"/>
        <v>1.2034615384133998</v>
      </c>
      <c r="AE69" s="98">
        <f t="shared" si="12"/>
        <v>22.063461538413399</v>
      </c>
      <c r="AF69" s="1">
        <v>0</v>
      </c>
    </row>
    <row r="70" spans="1:32" x14ac:dyDescent="0.25">
      <c r="A70" s="33" t="s">
        <v>25</v>
      </c>
      <c r="B70" s="60" t="s">
        <v>26</v>
      </c>
      <c r="C70" s="61">
        <v>45691</v>
      </c>
      <c r="D70" s="67" t="s">
        <v>130</v>
      </c>
      <c r="E70" s="60" t="s">
        <v>40</v>
      </c>
      <c r="F70" s="62">
        <v>6000</v>
      </c>
      <c r="G70" s="61">
        <v>45709</v>
      </c>
      <c r="H70" s="63" t="s">
        <v>132</v>
      </c>
      <c r="I70" s="60" t="s">
        <v>40</v>
      </c>
      <c r="J70" s="64">
        <v>6000</v>
      </c>
      <c r="K70" s="65">
        <f>T70</f>
        <v>12.516</v>
      </c>
      <c r="L70" s="66">
        <f t="shared" si="23"/>
        <v>75096</v>
      </c>
      <c r="M70" s="67" t="s">
        <v>133</v>
      </c>
      <c r="N70" s="61">
        <v>45695</v>
      </c>
      <c r="O70" s="60" t="s">
        <v>40</v>
      </c>
      <c r="P70" s="31">
        <v>6000</v>
      </c>
      <c r="Q70" s="68">
        <v>1.2</v>
      </c>
      <c r="R70" s="69">
        <f>P70*Q70</f>
        <v>7200</v>
      </c>
      <c r="S70" s="56">
        <v>10.43</v>
      </c>
      <c r="T70" s="67">
        <f>Q70*S70</f>
        <v>12.516</v>
      </c>
      <c r="U70" s="71">
        <f t="shared" si="24"/>
        <v>75096</v>
      </c>
      <c r="V70" s="72">
        <f>((0.11538461538)*P70)*S70</f>
        <v>7220.7692304803995</v>
      </c>
      <c r="W70" s="66">
        <f>U70+V70</f>
        <v>82316.769230480393</v>
      </c>
      <c r="X70" s="67"/>
      <c r="Y70" s="62"/>
      <c r="Z70" s="67"/>
      <c r="AA70" s="67"/>
      <c r="AB70" s="67"/>
      <c r="AC70" s="62"/>
      <c r="AD70" s="67">
        <f t="shared" si="11"/>
        <v>1.2034615384134</v>
      </c>
      <c r="AE70" s="67">
        <f t="shared" si="12"/>
        <v>13.7194615384134</v>
      </c>
      <c r="AF70" s="67">
        <v>0</v>
      </c>
    </row>
    <row r="71" spans="1:32" x14ac:dyDescent="0.25">
      <c r="A71" s="49" t="s">
        <v>31</v>
      </c>
      <c r="B71" s="34" t="s">
        <v>74</v>
      </c>
      <c r="C71" s="35">
        <v>45709</v>
      </c>
      <c r="D71" s="36" t="s">
        <v>135</v>
      </c>
      <c r="E71" s="34" t="s">
        <v>136</v>
      </c>
      <c r="F71" s="37">
        <v>1000</v>
      </c>
      <c r="G71" s="35">
        <v>45712</v>
      </c>
      <c r="H71" s="38" t="s">
        <v>137</v>
      </c>
      <c r="I71" s="34" t="s">
        <v>138</v>
      </c>
      <c r="J71" s="39">
        <v>1000</v>
      </c>
      <c r="K71" s="36">
        <v>6.5</v>
      </c>
      <c r="L71" s="40">
        <f t="shared" si="23"/>
        <v>6500</v>
      </c>
      <c r="M71" s="41">
        <v>144793</v>
      </c>
      <c r="N71" s="35">
        <v>45716</v>
      </c>
      <c r="O71" s="34" t="s">
        <v>138</v>
      </c>
      <c r="P71" s="42">
        <v>1000</v>
      </c>
      <c r="Q71" s="43"/>
      <c r="R71" s="44"/>
      <c r="S71" s="43"/>
      <c r="T71" s="41">
        <v>6.5</v>
      </c>
      <c r="U71" s="46">
        <f t="shared" si="24"/>
        <v>6500</v>
      </c>
      <c r="V71" s="47"/>
      <c r="W71" s="40">
        <f>V71+U71</f>
        <v>6500</v>
      </c>
      <c r="X71" s="41"/>
      <c r="Y71" s="37"/>
      <c r="Z71" s="41"/>
      <c r="AA71" s="41"/>
      <c r="AB71" s="41"/>
      <c r="AC71" s="37"/>
      <c r="AD71" s="101">
        <f t="shared" si="11"/>
        <v>0</v>
      </c>
      <c r="AE71" s="41">
        <f t="shared" si="12"/>
        <v>6.5</v>
      </c>
      <c r="AF71" s="41">
        <v>0</v>
      </c>
    </row>
    <row r="72" spans="1:32" x14ac:dyDescent="0.25">
      <c r="A72" s="49" t="s">
        <v>31</v>
      </c>
      <c r="B72" s="76" t="s">
        <v>139</v>
      </c>
      <c r="C72" s="77">
        <v>45706</v>
      </c>
      <c r="D72" s="50" t="s">
        <v>140</v>
      </c>
      <c r="E72" s="76" t="s">
        <v>141</v>
      </c>
      <c r="F72" s="78">
        <v>3000</v>
      </c>
      <c r="G72" s="77">
        <v>45712</v>
      </c>
      <c r="H72" s="79" t="s">
        <v>142</v>
      </c>
      <c r="I72" s="76" t="s">
        <v>143</v>
      </c>
      <c r="J72" s="80">
        <v>3000</v>
      </c>
      <c r="K72" s="50">
        <v>3.5</v>
      </c>
      <c r="L72" s="81">
        <f t="shared" si="23"/>
        <v>10500</v>
      </c>
      <c r="M72" s="82" t="s">
        <v>144</v>
      </c>
      <c r="N72" s="77">
        <v>45707</v>
      </c>
      <c r="O72" s="76" t="s">
        <v>141</v>
      </c>
      <c r="P72" s="83">
        <v>3000</v>
      </c>
      <c r="Q72" s="84"/>
      <c r="R72" s="85"/>
      <c r="S72" s="84"/>
      <c r="T72" s="82">
        <v>3.5</v>
      </c>
      <c r="U72" s="87">
        <f t="shared" si="24"/>
        <v>10500</v>
      </c>
      <c r="V72" s="88">
        <v>0</v>
      </c>
      <c r="W72" s="81">
        <v>10500</v>
      </c>
      <c r="X72" s="82"/>
      <c r="Y72" s="78"/>
      <c r="Z72" s="82"/>
      <c r="AA72" s="82"/>
      <c r="AB72" s="82"/>
      <c r="AC72" s="82"/>
      <c r="AD72" s="82">
        <f t="shared" si="11"/>
        <v>0</v>
      </c>
      <c r="AE72" s="82">
        <f t="shared" si="12"/>
        <v>3.5</v>
      </c>
      <c r="AF72" s="82">
        <v>0</v>
      </c>
    </row>
    <row r="73" spans="1:32" x14ac:dyDescent="0.25">
      <c r="A73" s="33" t="s">
        <v>25</v>
      </c>
      <c r="B73" s="76" t="s">
        <v>47</v>
      </c>
      <c r="C73" s="77">
        <v>45691</v>
      </c>
      <c r="D73" s="50" t="s">
        <v>106</v>
      </c>
      <c r="E73" s="76" t="s">
        <v>41</v>
      </c>
      <c r="F73" s="78">
        <v>3300</v>
      </c>
      <c r="G73" s="77">
        <v>45709</v>
      </c>
      <c r="H73" s="79" t="s">
        <v>145</v>
      </c>
      <c r="I73" s="76" t="s">
        <v>41</v>
      </c>
      <c r="J73" s="80">
        <v>3300</v>
      </c>
      <c r="K73" s="50">
        <f t="shared" ref="K73:K85" si="25">T73</f>
        <v>8.0696000000000012</v>
      </c>
      <c r="L73" s="81">
        <f t="shared" si="23"/>
        <v>26629.680000000004</v>
      </c>
      <c r="M73" s="82" t="s">
        <v>146</v>
      </c>
      <c r="N73" s="77">
        <v>45699</v>
      </c>
      <c r="O73" s="76" t="s">
        <v>41</v>
      </c>
      <c r="P73" s="83">
        <v>3300</v>
      </c>
      <c r="Q73" s="84">
        <v>0.77</v>
      </c>
      <c r="R73" s="85">
        <f t="shared" ref="R73:R85" si="26">P73*Q73</f>
        <v>2541</v>
      </c>
      <c r="S73" s="86">
        <v>10.48</v>
      </c>
      <c r="T73" s="82">
        <f t="shared" ref="T73:T85" si="27">Q73*S73</f>
        <v>8.0696000000000012</v>
      </c>
      <c r="U73" s="87">
        <f t="shared" ref="U73:U85" si="28">P73*T73</f>
        <v>26629.680000000004</v>
      </c>
      <c r="V73" s="88">
        <f t="shared" ref="V73:V85" si="29">((0.16342756183)*P73)*S73</f>
        <v>5651.9787983287215</v>
      </c>
      <c r="W73" s="81">
        <f t="shared" ref="W73:W85" si="30">U73+V73</f>
        <v>32281.658798328725</v>
      </c>
      <c r="X73" s="82"/>
      <c r="Y73" s="78"/>
      <c r="Z73" s="82"/>
      <c r="AA73" s="82"/>
      <c r="AB73" s="82"/>
      <c r="AC73" s="82"/>
      <c r="AD73" s="89">
        <f t="shared" si="11"/>
        <v>1.7127208479784004</v>
      </c>
      <c r="AE73" s="82">
        <f t="shared" si="12"/>
        <v>9.7823208479784007</v>
      </c>
      <c r="AF73" s="82">
        <v>0</v>
      </c>
    </row>
    <row r="74" spans="1:32" x14ac:dyDescent="0.25">
      <c r="A74" s="33" t="s">
        <v>25</v>
      </c>
      <c r="B74" s="2" t="s">
        <v>47</v>
      </c>
      <c r="C74" s="3">
        <v>45691</v>
      </c>
      <c r="D74" s="6" t="s">
        <v>106</v>
      </c>
      <c r="E74" s="2" t="s">
        <v>42</v>
      </c>
      <c r="F74" s="51">
        <v>3300</v>
      </c>
      <c r="G74" s="3">
        <v>45709</v>
      </c>
      <c r="H74" s="4" t="s">
        <v>145</v>
      </c>
      <c r="I74" s="2" t="s">
        <v>42</v>
      </c>
      <c r="J74" s="52">
        <v>3300</v>
      </c>
      <c r="K74" s="6">
        <f t="shared" si="25"/>
        <v>6.4976000000000003</v>
      </c>
      <c r="L74" s="53">
        <f t="shared" si="23"/>
        <v>21442.080000000002</v>
      </c>
      <c r="M74" s="1" t="s">
        <v>146</v>
      </c>
      <c r="N74" s="3">
        <v>45699</v>
      </c>
      <c r="O74" s="2" t="s">
        <v>42</v>
      </c>
      <c r="P74" s="9">
        <v>3300</v>
      </c>
      <c r="Q74" s="54">
        <v>0.62</v>
      </c>
      <c r="R74" s="55">
        <f t="shared" si="26"/>
        <v>2046</v>
      </c>
      <c r="S74" s="56">
        <v>10.48</v>
      </c>
      <c r="T74" s="1">
        <f t="shared" si="27"/>
        <v>6.4976000000000003</v>
      </c>
      <c r="U74" s="57">
        <f t="shared" si="28"/>
        <v>21442.080000000002</v>
      </c>
      <c r="V74" s="58">
        <f t="shared" si="29"/>
        <v>5651.9787983287215</v>
      </c>
      <c r="W74" s="53">
        <f t="shared" si="30"/>
        <v>27094.058798328722</v>
      </c>
      <c r="AC74" s="1"/>
      <c r="AD74" s="59">
        <f t="shared" si="11"/>
        <v>1.7127208479784004</v>
      </c>
      <c r="AE74" s="1">
        <f t="shared" si="12"/>
        <v>8.2103208479784016</v>
      </c>
      <c r="AF74" s="1">
        <v>0</v>
      </c>
    </row>
    <row r="75" spans="1:32" x14ac:dyDescent="0.25">
      <c r="A75" s="33" t="s">
        <v>25</v>
      </c>
      <c r="B75" s="2" t="s">
        <v>47</v>
      </c>
      <c r="C75" s="3">
        <v>45691</v>
      </c>
      <c r="D75" s="6" t="s">
        <v>106</v>
      </c>
      <c r="E75" s="2" t="s">
        <v>44</v>
      </c>
      <c r="F75" s="51">
        <v>2000</v>
      </c>
      <c r="G75" s="3">
        <v>45709</v>
      </c>
      <c r="H75" s="4" t="s">
        <v>145</v>
      </c>
      <c r="I75" s="2" t="s">
        <v>44</v>
      </c>
      <c r="J75" s="52">
        <v>2000</v>
      </c>
      <c r="K75" s="6">
        <f t="shared" si="25"/>
        <v>11.632800000000001</v>
      </c>
      <c r="L75" s="53">
        <f t="shared" si="23"/>
        <v>23265.600000000002</v>
      </c>
      <c r="M75" s="1" t="s">
        <v>146</v>
      </c>
      <c r="N75" s="3">
        <v>45699</v>
      </c>
      <c r="O75" s="2" t="s">
        <v>44</v>
      </c>
      <c r="P75" s="9">
        <v>2000</v>
      </c>
      <c r="Q75" s="54">
        <v>1.1100000000000001</v>
      </c>
      <c r="R75" s="55">
        <f t="shared" si="26"/>
        <v>2220</v>
      </c>
      <c r="S75" s="56">
        <v>10.48</v>
      </c>
      <c r="T75" s="1">
        <f t="shared" si="27"/>
        <v>11.632800000000001</v>
      </c>
      <c r="U75" s="57">
        <f t="shared" si="28"/>
        <v>23265.600000000002</v>
      </c>
      <c r="V75" s="58">
        <f t="shared" si="29"/>
        <v>3425.4416959568002</v>
      </c>
      <c r="W75" s="53">
        <f t="shared" si="30"/>
        <v>26691.041695956803</v>
      </c>
      <c r="AC75" s="1"/>
      <c r="AD75" s="74">
        <f t="shared" si="11"/>
        <v>1.7127208479784002</v>
      </c>
      <c r="AE75" s="1">
        <f t="shared" si="12"/>
        <v>13.345520847978401</v>
      </c>
      <c r="AF75" s="1">
        <v>0</v>
      </c>
    </row>
    <row r="76" spans="1:32" x14ac:dyDescent="0.25">
      <c r="A76" s="33" t="s">
        <v>25</v>
      </c>
      <c r="B76" s="2" t="s">
        <v>47</v>
      </c>
      <c r="C76" s="3">
        <v>45691</v>
      </c>
      <c r="D76" s="6" t="s">
        <v>106</v>
      </c>
      <c r="E76" s="2" t="s">
        <v>147</v>
      </c>
      <c r="F76" s="51">
        <v>1000</v>
      </c>
      <c r="G76" s="3">
        <v>45709</v>
      </c>
      <c r="H76" s="4" t="s">
        <v>145</v>
      </c>
      <c r="I76" s="2" t="s">
        <v>147</v>
      </c>
      <c r="J76" s="52">
        <v>1000</v>
      </c>
      <c r="K76" s="6">
        <f t="shared" si="25"/>
        <v>4.1920000000000002</v>
      </c>
      <c r="L76" s="53">
        <f t="shared" si="23"/>
        <v>4192</v>
      </c>
      <c r="M76" s="1" t="s">
        <v>146</v>
      </c>
      <c r="N76" s="3">
        <v>45699</v>
      </c>
      <c r="O76" s="2" t="s">
        <v>147</v>
      </c>
      <c r="P76" s="9">
        <v>1000</v>
      </c>
      <c r="Q76" s="54">
        <v>0.4</v>
      </c>
      <c r="R76" s="55">
        <f t="shared" si="26"/>
        <v>400</v>
      </c>
      <c r="S76" s="56">
        <v>10.48</v>
      </c>
      <c r="T76" s="1">
        <f t="shared" si="27"/>
        <v>4.1920000000000002</v>
      </c>
      <c r="U76" s="57">
        <f t="shared" si="28"/>
        <v>4192</v>
      </c>
      <c r="V76" s="58">
        <f t="shared" si="29"/>
        <v>1712.7208479784001</v>
      </c>
      <c r="W76" s="53">
        <f t="shared" si="30"/>
        <v>5904.7208479784003</v>
      </c>
      <c r="AC76" s="1"/>
      <c r="AD76" s="59">
        <f t="shared" si="11"/>
        <v>1.7127208479784002</v>
      </c>
      <c r="AE76" s="1">
        <f t="shared" si="12"/>
        <v>5.9047208479784006</v>
      </c>
      <c r="AF76" s="1">
        <v>0</v>
      </c>
    </row>
    <row r="77" spans="1:32" x14ac:dyDescent="0.25">
      <c r="A77" s="33" t="s">
        <v>25</v>
      </c>
      <c r="B77" s="2" t="s">
        <v>47</v>
      </c>
      <c r="C77" s="3">
        <v>45691</v>
      </c>
      <c r="D77" s="6" t="s">
        <v>106</v>
      </c>
      <c r="E77" s="2" t="s">
        <v>46</v>
      </c>
      <c r="F77" s="51">
        <v>1900</v>
      </c>
      <c r="G77" s="3">
        <v>45709</v>
      </c>
      <c r="H77" s="4" t="s">
        <v>145</v>
      </c>
      <c r="I77" s="2" t="s">
        <v>46</v>
      </c>
      <c r="J77" s="52">
        <v>1900</v>
      </c>
      <c r="K77" s="6">
        <f t="shared" si="25"/>
        <v>37.728000000000002</v>
      </c>
      <c r="L77" s="53">
        <f t="shared" si="23"/>
        <v>71683.199999999997</v>
      </c>
      <c r="M77" s="1" t="s">
        <v>146</v>
      </c>
      <c r="N77" s="3">
        <v>45699</v>
      </c>
      <c r="O77" s="2" t="s">
        <v>46</v>
      </c>
      <c r="P77" s="9">
        <v>1900</v>
      </c>
      <c r="Q77" s="54">
        <v>3.6</v>
      </c>
      <c r="R77" s="55">
        <f t="shared" si="26"/>
        <v>6840</v>
      </c>
      <c r="S77" s="56">
        <v>10.48</v>
      </c>
      <c r="T77" s="1">
        <f t="shared" si="27"/>
        <v>37.728000000000002</v>
      </c>
      <c r="U77" s="57">
        <f t="shared" si="28"/>
        <v>71683.199999999997</v>
      </c>
      <c r="V77" s="58">
        <f t="shared" si="29"/>
        <v>3254.1696111589599</v>
      </c>
      <c r="W77" s="53">
        <f t="shared" si="30"/>
        <v>74937.369611158952</v>
      </c>
      <c r="AC77" s="1"/>
      <c r="AD77" s="74">
        <f t="shared" si="11"/>
        <v>1.7127208479784</v>
      </c>
      <c r="AE77" s="1">
        <f t="shared" si="12"/>
        <v>39.440720847978405</v>
      </c>
      <c r="AF77" s="1">
        <v>0</v>
      </c>
    </row>
    <row r="78" spans="1:32" x14ac:dyDescent="0.25">
      <c r="A78" s="33" t="s">
        <v>25</v>
      </c>
      <c r="B78" s="2" t="s">
        <v>47</v>
      </c>
      <c r="C78" s="3">
        <v>45691</v>
      </c>
      <c r="D78" s="6" t="s">
        <v>106</v>
      </c>
      <c r="E78" s="2" t="s">
        <v>62</v>
      </c>
      <c r="F78" s="51">
        <v>1000</v>
      </c>
      <c r="G78" s="3">
        <v>45709</v>
      </c>
      <c r="H78" s="4" t="s">
        <v>145</v>
      </c>
      <c r="I78" s="2" t="s">
        <v>62</v>
      </c>
      <c r="J78" s="52">
        <v>1000</v>
      </c>
      <c r="K78" s="6">
        <f t="shared" si="25"/>
        <v>15.72</v>
      </c>
      <c r="L78" s="53">
        <f t="shared" si="23"/>
        <v>15720</v>
      </c>
      <c r="M78" s="1" t="s">
        <v>146</v>
      </c>
      <c r="N78" s="3">
        <v>45699</v>
      </c>
      <c r="O78" s="2" t="s">
        <v>62</v>
      </c>
      <c r="P78" s="9">
        <v>1000</v>
      </c>
      <c r="Q78" s="54">
        <v>1.5</v>
      </c>
      <c r="R78" s="55">
        <f t="shared" si="26"/>
        <v>1500</v>
      </c>
      <c r="S78" s="56">
        <v>10.48</v>
      </c>
      <c r="T78" s="1">
        <f t="shared" si="27"/>
        <v>15.72</v>
      </c>
      <c r="U78" s="57">
        <f t="shared" si="28"/>
        <v>15720</v>
      </c>
      <c r="V78" s="58">
        <f t="shared" si="29"/>
        <v>1712.7208479784001</v>
      </c>
      <c r="W78" s="53">
        <f t="shared" si="30"/>
        <v>17432.720847978399</v>
      </c>
      <c r="AC78" s="1"/>
      <c r="AD78" s="59">
        <f t="shared" si="11"/>
        <v>1.7127208479784002</v>
      </c>
      <c r="AE78" s="1">
        <f t="shared" si="12"/>
        <v>17.432720847978402</v>
      </c>
      <c r="AF78" s="1">
        <v>0</v>
      </c>
    </row>
    <row r="79" spans="1:32" x14ac:dyDescent="0.25">
      <c r="A79" s="33" t="s">
        <v>25</v>
      </c>
      <c r="B79" s="2" t="s">
        <v>47</v>
      </c>
      <c r="C79" s="3">
        <v>45691</v>
      </c>
      <c r="D79" s="6" t="s">
        <v>106</v>
      </c>
      <c r="E79" s="2" t="s">
        <v>54</v>
      </c>
      <c r="F79" s="51">
        <v>4000</v>
      </c>
      <c r="G79" s="3">
        <v>45709</v>
      </c>
      <c r="H79" s="4" t="s">
        <v>145</v>
      </c>
      <c r="I79" s="2" t="s">
        <v>54</v>
      </c>
      <c r="J79" s="52">
        <v>4000</v>
      </c>
      <c r="K79" s="6">
        <f t="shared" si="25"/>
        <v>22.427200000000003</v>
      </c>
      <c r="L79" s="53">
        <f t="shared" si="23"/>
        <v>89708.800000000017</v>
      </c>
      <c r="M79" s="1" t="s">
        <v>146</v>
      </c>
      <c r="N79" s="3">
        <v>45699</v>
      </c>
      <c r="O79" s="2" t="s">
        <v>54</v>
      </c>
      <c r="P79" s="9">
        <v>4000</v>
      </c>
      <c r="Q79" s="54">
        <v>2.14</v>
      </c>
      <c r="R79" s="55">
        <f t="shared" si="26"/>
        <v>8560</v>
      </c>
      <c r="S79" s="56">
        <v>10.48</v>
      </c>
      <c r="T79" s="1">
        <f t="shared" si="27"/>
        <v>22.427200000000003</v>
      </c>
      <c r="U79" s="57">
        <f t="shared" si="28"/>
        <v>89708.800000000017</v>
      </c>
      <c r="V79" s="58">
        <f t="shared" si="29"/>
        <v>6850.8833919136005</v>
      </c>
      <c r="W79" s="53">
        <f t="shared" si="30"/>
        <v>96559.683391913612</v>
      </c>
      <c r="AC79" s="1"/>
      <c r="AD79" s="59">
        <f t="shared" si="11"/>
        <v>1.7127208479784002</v>
      </c>
      <c r="AE79" s="1">
        <f t="shared" si="12"/>
        <v>24.139920847978402</v>
      </c>
      <c r="AF79" s="1">
        <v>0</v>
      </c>
    </row>
    <row r="80" spans="1:32" x14ac:dyDescent="0.25">
      <c r="A80" s="33" t="s">
        <v>25</v>
      </c>
      <c r="B80" s="2" t="s">
        <v>47</v>
      </c>
      <c r="C80" s="3">
        <v>45691</v>
      </c>
      <c r="D80" s="6" t="s">
        <v>106</v>
      </c>
      <c r="E80" s="2" t="s">
        <v>148</v>
      </c>
      <c r="F80" s="51">
        <v>1000</v>
      </c>
      <c r="G80" s="3">
        <v>45709</v>
      </c>
      <c r="H80" s="4" t="s">
        <v>145</v>
      </c>
      <c r="I80" s="2" t="s">
        <v>148</v>
      </c>
      <c r="J80" s="52">
        <v>1000</v>
      </c>
      <c r="K80" s="6">
        <f t="shared" si="25"/>
        <v>15.196</v>
      </c>
      <c r="L80" s="53">
        <f t="shared" si="23"/>
        <v>15196</v>
      </c>
      <c r="M80" s="1" t="s">
        <v>146</v>
      </c>
      <c r="N80" s="3">
        <v>45699</v>
      </c>
      <c r="O80" s="2" t="s">
        <v>148</v>
      </c>
      <c r="P80" s="9">
        <v>1000</v>
      </c>
      <c r="Q80" s="54">
        <v>1.45</v>
      </c>
      <c r="R80" s="55">
        <f t="shared" si="26"/>
        <v>1450</v>
      </c>
      <c r="S80" s="56">
        <v>10.48</v>
      </c>
      <c r="T80" s="1">
        <f t="shared" si="27"/>
        <v>15.196</v>
      </c>
      <c r="U80" s="57">
        <f t="shared" si="28"/>
        <v>15196</v>
      </c>
      <c r="V80" s="58">
        <f t="shared" si="29"/>
        <v>1712.7208479784001</v>
      </c>
      <c r="W80" s="53">
        <f t="shared" si="30"/>
        <v>16908.720847978399</v>
      </c>
      <c r="AC80" s="1"/>
      <c r="AD80" s="59">
        <f t="shared" si="11"/>
        <v>1.7127208479784002</v>
      </c>
      <c r="AE80" s="1">
        <f t="shared" si="12"/>
        <v>16.908720847978401</v>
      </c>
      <c r="AF80" s="1">
        <v>0</v>
      </c>
    </row>
    <row r="81" spans="1:32" x14ac:dyDescent="0.25">
      <c r="A81" s="33" t="s">
        <v>25</v>
      </c>
      <c r="B81" s="2" t="s">
        <v>47</v>
      </c>
      <c r="C81" s="3">
        <v>45691</v>
      </c>
      <c r="D81" s="6" t="s">
        <v>106</v>
      </c>
      <c r="E81" s="2" t="s">
        <v>149</v>
      </c>
      <c r="F81" s="51">
        <v>240</v>
      </c>
      <c r="G81" s="3">
        <v>45709</v>
      </c>
      <c r="H81" s="4" t="s">
        <v>145</v>
      </c>
      <c r="I81" s="2" t="s">
        <v>149</v>
      </c>
      <c r="J81" s="52">
        <v>240</v>
      </c>
      <c r="K81" s="6">
        <f t="shared" si="25"/>
        <v>9.4320000000000004</v>
      </c>
      <c r="L81" s="53">
        <f t="shared" si="23"/>
        <v>2263.6800000000003</v>
      </c>
      <c r="M81" s="1" t="s">
        <v>146</v>
      </c>
      <c r="N81" s="3">
        <v>45699</v>
      </c>
      <c r="O81" s="2" t="s">
        <v>149</v>
      </c>
      <c r="P81" s="9">
        <v>240</v>
      </c>
      <c r="Q81" s="54">
        <v>0.9</v>
      </c>
      <c r="R81" s="55">
        <f t="shared" si="26"/>
        <v>216</v>
      </c>
      <c r="S81" s="56">
        <v>10.48</v>
      </c>
      <c r="T81" s="1">
        <f t="shared" si="27"/>
        <v>9.4320000000000004</v>
      </c>
      <c r="U81" s="57">
        <f t="shared" si="28"/>
        <v>2263.6800000000003</v>
      </c>
      <c r="V81" s="58">
        <f t="shared" si="29"/>
        <v>411.05300351481606</v>
      </c>
      <c r="W81" s="53">
        <f t="shared" si="30"/>
        <v>2674.7330035148161</v>
      </c>
      <c r="AC81" s="1"/>
      <c r="AD81" s="59">
        <f t="shared" si="11"/>
        <v>1.7127208479784002</v>
      </c>
      <c r="AE81" s="1">
        <f t="shared" si="12"/>
        <v>11.1447208479784</v>
      </c>
      <c r="AF81" s="1">
        <v>0</v>
      </c>
    </row>
    <row r="82" spans="1:32" x14ac:dyDescent="0.25">
      <c r="A82" s="33" t="s">
        <v>25</v>
      </c>
      <c r="B82" s="2" t="s">
        <v>47</v>
      </c>
      <c r="C82" s="3">
        <v>45691</v>
      </c>
      <c r="D82" s="6" t="s">
        <v>106</v>
      </c>
      <c r="E82" s="2" t="s">
        <v>150</v>
      </c>
      <c r="F82" s="51">
        <v>200</v>
      </c>
      <c r="G82" s="3">
        <v>45709</v>
      </c>
      <c r="H82" s="4" t="s">
        <v>145</v>
      </c>
      <c r="I82" s="2" t="s">
        <v>150</v>
      </c>
      <c r="J82" s="52">
        <v>200</v>
      </c>
      <c r="K82" s="6">
        <f t="shared" si="25"/>
        <v>179.20800000000003</v>
      </c>
      <c r="L82" s="53">
        <f t="shared" si="23"/>
        <v>35841.600000000006</v>
      </c>
      <c r="M82" s="1" t="s">
        <v>146</v>
      </c>
      <c r="N82" s="3">
        <v>45699</v>
      </c>
      <c r="O82" s="2" t="s">
        <v>150</v>
      </c>
      <c r="P82" s="9">
        <v>200</v>
      </c>
      <c r="Q82" s="54">
        <v>17.100000000000001</v>
      </c>
      <c r="R82" s="55">
        <f t="shared" si="26"/>
        <v>3420.0000000000005</v>
      </c>
      <c r="S82" s="56">
        <v>10.48</v>
      </c>
      <c r="T82" s="1">
        <f t="shared" si="27"/>
        <v>179.20800000000003</v>
      </c>
      <c r="U82" s="57">
        <f t="shared" si="28"/>
        <v>35841.600000000006</v>
      </c>
      <c r="V82" s="58">
        <f t="shared" si="29"/>
        <v>342.54416959568005</v>
      </c>
      <c r="W82" s="53">
        <f t="shared" si="30"/>
        <v>36184.144169595689</v>
      </c>
      <c r="AC82" s="1"/>
      <c r="AD82" s="59">
        <f t="shared" si="11"/>
        <v>1.7127208479784002</v>
      </c>
      <c r="AE82" s="1">
        <f t="shared" si="12"/>
        <v>180.92072084797843</v>
      </c>
      <c r="AF82" s="1">
        <v>0</v>
      </c>
    </row>
    <row r="83" spans="1:32" x14ac:dyDescent="0.25">
      <c r="A83" s="33" t="s">
        <v>25</v>
      </c>
      <c r="B83" s="2" t="s">
        <v>47</v>
      </c>
      <c r="C83" s="3">
        <v>45691</v>
      </c>
      <c r="D83" s="6" t="s">
        <v>106</v>
      </c>
      <c r="E83" s="2" t="s">
        <v>151</v>
      </c>
      <c r="F83" s="51">
        <v>200</v>
      </c>
      <c r="G83" s="3">
        <v>45709</v>
      </c>
      <c r="H83" s="4" t="s">
        <v>145</v>
      </c>
      <c r="I83" s="2" t="s">
        <v>151</v>
      </c>
      <c r="J83" s="52">
        <v>200</v>
      </c>
      <c r="K83" s="6">
        <f t="shared" si="25"/>
        <v>119.8912</v>
      </c>
      <c r="L83" s="53">
        <f t="shared" si="23"/>
        <v>23978.239999999998</v>
      </c>
      <c r="M83" s="1" t="s">
        <v>146</v>
      </c>
      <c r="N83" s="3">
        <v>45699</v>
      </c>
      <c r="O83" s="2" t="s">
        <v>151</v>
      </c>
      <c r="P83" s="9">
        <v>200</v>
      </c>
      <c r="Q83" s="54">
        <v>11.44</v>
      </c>
      <c r="R83" s="55">
        <f t="shared" si="26"/>
        <v>2288</v>
      </c>
      <c r="S83" s="56">
        <v>10.48</v>
      </c>
      <c r="T83" s="1">
        <f t="shared" si="27"/>
        <v>119.8912</v>
      </c>
      <c r="U83" s="57">
        <f t="shared" si="28"/>
        <v>23978.239999999998</v>
      </c>
      <c r="V83" s="58">
        <f t="shared" si="29"/>
        <v>342.54416959568005</v>
      </c>
      <c r="W83" s="53">
        <f t="shared" si="30"/>
        <v>24320.784169595678</v>
      </c>
      <c r="AC83" s="1"/>
      <c r="AD83" s="59">
        <f t="shared" si="11"/>
        <v>1.7127208479784002</v>
      </c>
      <c r="AE83" s="1">
        <f t="shared" si="12"/>
        <v>121.6039208479784</v>
      </c>
      <c r="AF83" s="1">
        <v>0</v>
      </c>
    </row>
    <row r="84" spans="1:32" x14ac:dyDescent="0.25">
      <c r="A84" s="33" t="s">
        <v>25</v>
      </c>
      <c r="B84" s="2" t="s">
        <v>47</v>
      </c>
      <c r="C84" s="3">
        <v>45691</v>
      </c>
      <c r="D84" s="6" t="s">
        <v>106</v>
      </c>
      <c r="E84" s="2" t="s">
        <v>152</v>
      </c>
      <c r="F84" s="51">
        <v>500</v>
      </c>
      <c r="G84" s="3">
        <v>45709</v>
      </c>
      <c r="H84" s="4" t="s">
        <v>145</v>
      </c>
      <c r="I84" s="2" t="s">
        <v>152</v>
      </c>
      <c r="J84" s="52">
        <v>500</v>
      </c>
      <c r="K84" s="6">
        <f t="shared" si="25"/>
        <v>99.140800000000013</v>
      </c>
      <c r="L84" s="53">
        <f t="shared" si="23"/>
        <v>49570.400000000009</v>
      </c>
      <c r="M84" s="1" t="s">
        <v>146</v>
      </c>
      <c r="N84" s="3">
        <v>45699</v>
      </c>
      <c r="O84" s="2" t="s">
        <v>152</v>
      </c>
      <c r="P84" s="9">
        <v>500</v>
      </c>
      <c r="Q84" s="54">
        <v>9.4600000000000009</v>
      </c>
      <c r="R84" s="55">
        <f t="shared" si="26"/>
        <v>4730</v>
      </c>
      <c r="S84" s="56">
        <v>10.48</v>
      </c>
      <c r="T84" s="1">
        <f>Q84*S84</f>
        <v>99.140800000000013</v>
      </c>
      <c r="U84" s="57">
        <f t="shared" si="28"/>
        <v>49570.400000000009</v>
      </c>
      <c r="V84" s="58">
        <f t="shared" si="29"/>
        <v>856.36042398920006</v>
      </c>
      <c r="W84" s="53">
        <f t="shared" si="30"/>
        <v>50426.76042398921</v>
      </c>
      <c r="AC84" s="1"/>
      <c r="AD84" s="59">
        <f t="shared" si="11"/>
        <v>1.7127208479784002</v>
      </c>
      <c r="AE84" s="1">
        <f t="shared" si="12"/>
        <v>100.85352084797842</v>
      </c>
      <c r="AF84" s="1">
        <v>0</v>
      </c>
    </row>
    <row r="85" spans="1:32" x14ac:dyDescent="0.25">
      <c r="A85" s="33" t="s">
        <v>25</v>
      </c>
      <c r="B85" s="60" t="s">
        <v>47</v>
      </c>
      <c r="C85" s="61">
        <v>45691</v>
      </c>
      <c r="D85" s="65" t="s">
        <v>106</v>
      </c>
      <c r="E85" s="60" t="s">
        <v>153</v>
      </c>
      <c r="F85" s="62">
        <v>4000</v>
      </c>
      <c r="G85" s="61">
        <v>45709</v>
      </c>
      <c r="H85" s="63" t="s">
        <v>145</v>
      </c>
      <c r="I85" s="60" t="s">
        <v>153</v>
      </c>
      <c r="J85" s="64">
        <v>4000</v>
      </c>
      <c r="K85" s="65">
        <f t="shared" si="25"/>
        <v>11.528000000000002</v>
      </c>
      <c r="L85" s="66">
        <f t="shared" si="23"/>
        <v>46112.000000000007</v>
      </c>
      <c r="M85" s="73" t="s">
        <v>146</v>
      </c>
      <c r="N85" s="61">
        <v>45699</v>
      </c>
      <c r="O85" s="60" t="s">
        <v>153</v>
      </c>
      <c r="P85" s="31">
        <v>4000</v>
      </c>
      <c r="Q85" s="68">
        <v>1.1000000000000001</v>
      </c>
      <c r="R85" s="69">
        <f t="shared" si="26"/>
        <v>4400</v>
      </c>
      <c r="S85" s="70">
        <v>10.48</v>
      </c>
      <c r="T85" s="67">
        <f t="shared" si="27"/>
        <v>11.528000000000002</v>
      </c>
      <c r="U85" s="71">
        <f t="shared" si="28"/>
        <v>46112.000000000007</v>
      </c>
      <c r="V85" s="72">
        <f t="shared" si="29"/>
        <v>6850.8833919136005</v>
      </c>
      <c r="W85" s="66">
        <f t="shared" si="30"/>
        <v>52962.883391913609</v>
      </c>
      <c r="X85" s="67"/>
      <c r="Y85" s="62"/>
      <c r="Z85" s="67"/>
      <c r="AA85" s="67"/>
      <c r="AB85" s="67"/>
      <c r="AC85" s="67"/>
      <c r="AD85" s="73">
        <f t="shared" si="11"/>
        <v>1.7127208479784002</v>
      </c>
      <c r="AE85" s="67">
        <f t="shared" si="12"/>
        <v>13.240720847978402</v>
      </c>
      <c r="AF85" s="67">
        <v>0</v>
      </c>
    </row>
    <row r="86" spans="1:32" x14ac:dyDescent="0.25">
      <c r="A86" s="49" t="s">
        <v>31</v>
      </c>
      <c r="B86" s="34" t="s">
        <v>74</v>
      </c>
      <c r="C86" s="35">
        <v>45709</v>
      </c>
      <c r="D86" s="36" t="s">
        <v>135</v>
      </c>
      <c r="E86" s="34" t="s">
        <v>138</v>
      </c>
      <c r="F86" s="37">
        <v>6000</v>
      </c>
      <c r="G86" s="35">
        <v>45714</v>
      </c>
      <c r="H86" s="38" t="s">
        <v>154</v>
      </c>
      <c r="I86" s="34" t="s">
        <v>138</v>
      </c>
      <c r="J86" s="39">
        <v>2000</v>
      </c>
      <c r="K86" s="36">
        <v>6.5</v>
      </c>
      <c r="L86" s="40">
        <f t="shared" si="23"/>
        <v>13000</v>
      </c>
      <c r="M86" s="41">
        <v>144793</v>
      </c>
      <c r="N86" s="35">
        <v>45716</v>
      </c>
      <c r="O86" s="34" t="s">
        <v>138</v>
      </c>
      <c r="P86" s="42">
        <v>2000</v>
      </c>
      <c r="Q86" s="43"/>
      <c r="R86" s="44"/>
      <c r="S86" s="45"/>
      <c r="T86" s="41">
        <v>6.5</v>
      </c>
      <c r="U86" s="46">
        <f>T86*P86</f>
        <v>13000</v>
      </c>
      <c r="V86" s="47"/>
      <c r="W86" s="40">
        <f>V86+U86</f>
        <v>13000</v>
      </c>
      <c r="X86" s="41"/>
      <c r="Y86" s="37"/>
      <c r="Z86" s="41"/>
      <c r="AA86" s="41"/>
      <c r="AB86" s="41"/>
      <c r="AC86" s="41"/>
      <c r="AD86" s="48">
        <f t="shared" si="11"/>
        <v>0</v>
      </c>
      <c r="AE86" s="41">
        <f t="shared" si="12"/>
        <v>6.5</v>
      </c>
      <c r="AF86" s="41">
        <v>0</v>
      </c>
    </row>
    <row r="87" spans="1:32" x14ac:dyDescent="0.25">
      <c r="A87" s="49" t="s">
        <v>31</v>
      </c>
      <c r="B87" s="34" t="s">
        <v>93</v>
      </c>
      <c r="C87" s="35">
        <v>45706</v>
      </c>
      <c r="D87" s="36" t="s">
        <v>155</v>
      </c>
      <c r="E87" s="34" t="s">
        <v>95</v>
      </c>
      <c r="F87" s="37">
        <v>16000</v>
      </c>
      <c r="G87" s="35">
        <v>45714</v>
      </c>
      <c r="H87" s="38" t="s">
        <v>156</v>
      </c>
      <c r="I87" s="34" t="s">
        <v>98</v>
      </c>
      <c r="J87" s="39">
        <v>16000</v>
      </c>
      <c r="K87" s="36">
        <v>1.4650000000000001</v>
      </c>
      <c r="L87" s="40">
        <f t="shared" si="23"/>
        <v>23440</v>
      </c>
      <c r="M87" s="41" t="s">
        <v>157</v>
      </c>
      <c r="N87" s="35">
        <v>45896</v>
      </c>
      <c r="O87" s="34" t="s">
        <v>98</v>
      </c>
      <c r="P87" s="42">
        <v>16000</v>
      </c>
      <c r="Q87" s="43"/>
      <c r="R87" s="44"/>
      <c r="S87" s="45"/>
      <c r="T87" s="41">
        <v>1.4650000000000001</v>
      </c>
      <c r="U87" s="46">
        <v>23440</v>
      </c>
      <c r="V87" s="47">
        <v>4688</v>
      </c>
      <c r="W87" s="40">
        <f>+V87+U87</f>
        <v>28128</v>
      </c>
      <c r="X87" s="41"/>
      <c r="Y87" s="37"/>
      <c r="Z87" s="41"/>
      <c r="AA87" s="41"/>
      <c r="AB87" s="41"/>
      <c r="AC87" s="41"/>
      <c r="AD87" s="48">
        <f t="shared" si="11"/>
        <v>0.29299999999999998</v>
      </c>
      <c r="AE87" s="41">
        <f t="shared" si="12"/>
        <v>1.758</v>
      </c>
      <c r="AF87" s="41">
        <v>0</v>
      </c>
    </row>
    <row r="88" spans="1:32" x14ac:dyDescent="0.25">
      <c r="A88" s="49" t="s">
        <v>31</v>
      </c>
      <c r="B88" s="34" t="s">
        <v>32</v>
      </c>
      <c r="C88" s="35"/>
      <c r="D88" s="36"/>
      <c r="E88" s="34" t="s">
        <v>33</v>
      </c>
      <c r="F88" s="37">
        <v>1280</v>
      </c>
      <c r="G88" s="35">
        <v>45717</v>
      </c>
      <c r="H88" s="38" t="s">
        <v>158</v>
      </c>
      <c r="I88" s="34" t="s">
        <v>35</v>
      </c>
      <c r="J88" s="39">
        <v>1280</v>
      </c>
      <c r="K88" s="36">
        <v>3.75</v>
      </c>
      <c r="L88" s="40">
        <f>+K88*J88</f>
        <v>4800</v>
      </c>
      <c r="M88" s="41" t="s">
        <v>159</v>
      </c>
      <c r="N88" s="35">
        <v>45716</v>
      </c>
      <c r="O88" s="34" t="s">
        <v>33</v>
      </c>
      <c r="P88" s="42">
        <v>1280</v>
      </c>
      <c r="Q88" s="43"/>
      <c r="R88" s="44"/>
      <c r="S88" s="45"/>
      <c r="T88" s="41">
        <v>3.75</v>
      </c>
      <c r="U88" s="46">
        <v>4800</v>
      </c>
      <c r="V88" s="47"/>
      <c r="W88" s="40"/>
      <c r="X88" s="41"/>
      <c r="Y88" s="37"/>
      <c r="Z88" s="41"/>
      <c r="AA88" s="41"/>
      <c r="AB88" s="41"/>
      <c r="AC88" s="41"/>
      <c r="AD88" s="48"/>
      <c r="AE88" s="41"/>
      <c r="AF88" s="41"/>
    </row>
    <row r="89" spans="1:32" x14ac:dyDescent="0.25">
      <c r="A89" s="49" t="s">
        <v>31</v>
      </c>
      <c r="B89" s="76" t="s">
        <v>70</v>
      </c>
      <c r="C89" s="77">
        <v>45715</v>
      </c>
      <c r="D89" s="50" t="s">
        <v>160</v>
      </c>
      <c r="E89" s="76" t="s">
        <v>72</v>
      </c>
      <c r="F89" s="82">
        <v>16000</v>
      </c>
      <c r="G89" s="77">
        <v>45715</v>
      </c>
      <c r="H89" s="79" t="s">
        <v>161</v>
      </c>
      <c r="I89" s="76" t="s">
        <v>72</v>
      </c>
      <c r="J89" s="80">
        <v>16900</v>
      </c>
      <c r="K89" s="50">
        <v>0.4</v>
      </c>
      <c r="L89" s="87">
        <f t="shared" ref="L89:L116" si="31">K89*J89</f>
        <v>6760</v>
      </c>
      <c r="M89" s="82">
        <v>536</v>
      </c>
      <c r="N89" s="77">
        <v>45719</v>
      </c>
      <c r="O89" s="76" t="s">
        <v>72</v>
      </c>
      <c r="P89" s="83">
        <v>16900</v>
      </c>
      <c r="Q89" s="84"/>
      <c r="R89" s="85"/>
      <c r="S89" s="86"/>
      <c r="T89" s="82">
        <v>0.4</v>
      </c>
      <c r="U89" s="87">
        <v>6760</v>
      </c>
      <c r="V89" s="88">
        <v>300</v>
      </c>
      <c r="W89" s="87">
        <f>+V89+U89</f>
        <v>7060</v>
      </c>
      <c r="X89" s="82"/>
      <c r="Y89" s="82"/>
      <c r="Z89" s="82"/>
      <c r="AA89" s="82"/>
      <c r="AB89" s="82"/>
      <c r="AC89" s="82"/>
      <c r="AD89" s="89">
        <f t="shared" ref="AD89:AD99" si="32">V89/P89</f>
        <v>1.7751479289940829E-2</v>
      </c>
      <c r="AE89" s="82"/>
      <c r="AF89" s="82"/>
    </row>
    <row r="90" spans="1:32" x14ac:dyDescent="0.25">
      <c r="A90" s="33" t="s">
        <v>25</v>
      </c>
      <c r="B90" s="76" t="s">
        <v>47</v>
      </c>
      <c r="C90" s="77">
        <v>45691</v>
      </c>
      <c r="D90" s="50" t="s">
        <v>162</v>
      </c>
      <c r="E90" s="76" t="s">
        <v>37</v>
      </c>
      <c r="F90" s="82">
        <v>3300</v>
      </c>
      <c r="G90" s="95">
        <v>45721</v>
      </c>
      <c r="H90" s="79" t="s">
        <v>163</v>
      </c>
      <c r="I90" s="76" t="s">
        <v>37</v>
      </c>
      <c r="J90" s="80">
        <v>3300</v>
      </c>
      <c r="K90" s="50">
        <f t="shared" ref="K90:K98" si="33">T90</f>
        <v>9.6348000000000003</v>
      </c>
      <c r="L90" s="87">
        <f t="shared" si="31"/>
        <v>31794.84</v>
      </c>
      <c r="M90" s="89" t="s">
        <v>164</v>
      </c>
      <c r="N90" s="77">
        <v>45707</v>
      </c>
      <c r="O90" s="76" t="s">
        <v>37</v>
      </c>
      <c r="P90" s="83">
        <v>3300</v>
      </c>
      <c r="Q90" s="84">
        <v>0.93</v>
      </c>
      <c r="R90" s="85">
        <f t="shared" ref="R90:R98" si="34">P90*Q90</f>
        <v>3069</v>
      </c>
      <c r="S90" s="86">
        <v>10.36</v>
      </c>
      <c r="T90" s="82">
        <f t="shared" ref="T90:T98" si="35">Q90*S90</f>
        <v>9.6348000000000003</v>
      </c>
      <c r="U90" s="87">
        <f t="shared" ref="U90:U98" si="36">P90*T90</f>
        <v>31794.84</v>
      </c>
      <c r="V90" s="88">
        <f t="shared" ref="V90:V98" si="37">((0.12466124661)*P90)*S90</f>
        <v>4261.91869910268</v>
      </c>
      <c r="W90" s="87">
        <f t="shared" ref="W90:W98" si="38">U90+V90</f>
        <v>36056.758699102676</v>
      </c>
      <c r="X90" s="82"/>
      <c r="Y90" s="82"/>
      <c r="Z90" s="82"/>
      <c r="AA90" s="82"/>
      <c r="AB90" s="82"/>
      <c r="AC90" s="82"/>
      <c r="AD90" s="89">
        <f t="shared" si="32"/>
        <v>1.2914905148796001</v>
      </c>
      <c r="AE90" s="82">
        <f t="shared" ref="AE90:AE99" si="39">T90+AD90</f>
        <v>10.9262905148796</v>
      </c>
      <c r="AF90" s="82">
        <v>0</v>
      </c>
    </row>
    <row r="91" spans="1:32" x14ac:dyDescent="0.25">
      <c r="A91" s="33" t="s">
        <v>25</v>
      </c>
      <c r="B91" s="2" t="s">
        <v>26</v>
      </c>
      <c r="C91" s="3">
        <v>45691</v>
      </c>
      <c r="D91" s="6" t="s">
        <v>162</v>
      </c>
      <c r="E91" s="2" t="s">
        <v>41</v>
      </c>
      <c r="F91" s="1">
        <v>1100</v>
      </c>
      <c r="G91" s="96">
        <v>45721</v>
      </c>
      <c r="H91" s="4" t="s">
        <v>163</v>
      </c>
      <c r="I91" s="2" t="s">
        <v>41</v>
      </c>
      <c r="J91" s="52">
        <v>1100</v>
      </c>
      <c r="K91" s="6">
        <f t="shared" si="33"/>
        <v>7.9771999999999998</v>
      </c>
      <c r="L91" s="57">
        <f t="shared" si="31"/>
        <v>8774.92</v>
      </c>
      <c r="M91" s="59" t="s">
        <v>164</v>
      </c>
      <c r="N91" s="3">
        <v>45707</v>
      </c>
      <c r="O91" s="2" t="s">
        <v>41</v>
      </c>
      <c r="P91" s="9">
        <v>1100</v>
      </c>
      <c r="Q91" s="54">
        <v>0.77</v>
      </c>
      <c r="R91" s="55">
        <f t="shared" si="34"/>
        <v>847</v>
      </c>
      <c r="S91" s="56">
        <v>10.36</v>
      </c>
      <c r="T91" s="1">
        <f t="shared" si="35"/>
        <v>7.9771999999999998</v>
      </c>
      <c r="U91" s="57">
        <f t="shared" si="36"/>
        <v>8774.92</v>
      </c>
      <c r="V91" s="58">
        <f t="shared" si="37"/>
        <v>1420.6395663675598</v>
      </c>
      <c r="W91" s="57">
        <f t="shared" si="38"/>
        <v>10195.559566367559</v>
      </c>
      <c r="Y91" s="1"/>
      <c r="AC91" s="1"/>
      <c r="AD91" s="59">
        <f t="shared" si="32"/>
        <v>1.2914905148795999</v>
      </c>
      <c r="AE91" s="1">
        <f t="shared" si="39"/>
        <v>9.2686905148795997</v>
      </c>
      <c r="AF91" s="1">
        <v>0</v>
      </c>
    </row>
    <row r="92" spans="1:32" x14ac:dyDescent="0.25">
      <c r="A92" s="33" t="s">
        <v>25</v>
      </c>
      <c r="B92" s="2" t="s">
        <v>26</v>
      </c>
      <c r="C92" s="3">
        <v>45691</v>
      </c>
      <c r="D92" s="6" t="s">
        <v>162</v>
      </c>
      <c r="E92" s="2" t="s">
        <v>42</v>
      </c>
      <c r="F92" s="1">
        <v>1100</v>
      </c>
      <c r="G92" s="96">
        <v>45721</v>
      </c>
      <c r="H92" s="4" t="s">
        <v>163</v>
      </c>
      <c r="I92" s="2" t="s">
        <v>42</v>
      </c>
      <c r="J92" s="52">
        <v>1100</v>
      </c>
      <c r="K92" s="6">
        <f t="shared" si="33"/>
        <v>6.4231999999999996</v>
      </c>
      <c r="L92" s="57">
        <f t="shared" si="31"/>
        <v>7065.5199999999995</v>
      </c>
      <c r="M92" s="59" t="s">
        <v>164</v>
      </c>
      <c r="N92" s="3">
        <v>45707</v>
      </c>
      <c r="O92" s="2" t="s">
        <v>42</v>
      </c>
      <c r="P92" s="9">
        <v>1100</v>
      </c>
      <c r="Q92" s="54">
        <v>0.62</v>
      </c>
      <c r="R92" s="55">
        <f t="shared" si="34"/>
        <v>682</v>
      </c>
      <c r="S92" s="56">
        <v>10.36</v>
      </c>
      <c r="T92" s="1">
        <f t="shared" si="35"/>
        <v>6.4231999999999996</v>
      </c>
      <c r="U92" s="57">
        <f t="shared" si="36"/>
        <v>7065.5199999999995</v>
      </c>
      <c r="V92" s="58">
        <f t="shared" si="37"/>
        <v>1420.6395663675598</v>
      </c>
      <c r="W92" s="57">
        <f t="shared" si="38"/>
        <v>8486.1595663675598</v>
      </c>
      <c r="Y92" s="1"/>
      <c r="AC92" s="1"/>
      <c r="AD92" s="59">
        <f t="shared" si="32"/>
        <v>1.2914905148795999</v>
      </c>
      <c r="AE92" s="1">
        <f t="shared" si="39"/>
        <v>7.7146905148795994</v>
      </c>
      <c r="AF92" s="1">
        <v>0</v>
      </c>
    </row>
    <row r="93" spans="1:32" x14ac:dyDescent="0.25">
      <c r="A93" s="33" t="s">
        <v>25</v>
      </c>
      <c r="B93" s="2" t="s">
        <v>26</v>
      </c>
      <c r="C93" s="3">
        <v>45691</v>
      </c>
      <c r="D93" s="6" t="s">
        <v>162</v>
      </c>
      <c r="E93" s="2" t="s">
        <v>165</v>
      </c>
      <c r="F93" s="1">
        <v>2000</v>
      </c>
      <c r="G93" s="96">
        <v>45721</v>
      </c>
      <c r="H93" s="4" t="s">
        <v>163</v>
      </c>
      <c r="I93" s="2" t="s">
        <v>165</v>
      </c>
      <c r="J93" s="52">
        <v>2000</v>
      </c>
      <c r="K93" s="6">
        <f t="shared" si="33"/>
        <v>20.305599999999998</v>
      </c>
      <c r="L93" s="57">
        <f t="shared" si="31"/>
        <v>40611.199999999997</v>
      </c>
      <c r="M93" s="59" t="s">
        <v>164</v>
      </c>
      <c r="N93" s="3">
        <v>45707</v>
      </c>
      <c r="O93" s="2" t="s">
        <v>165</v>
      </c>
      <c r="P93" s="9">
        <v>2000</v>
      </c>
      <c r="Q93" s="54">
        <v>1.96</v>
      </c>
      <c r="R93" s="55">
        <f t="shared" si="34"/>
        <v>3920</v>
      </c>
      <c r="S93" s="56">
        <v>10.36</v>
      </c>
      <c r="T93" s="1">
        <f t="shared" si="35"/>
        <v>20.305599999999998</v>
      </c>
      <c r="U93" s="57">
        <f t="shared" si="36"/>
        <v>40611.199999999997</v>
      </c>
      <c r="V93" s="58">
        <f t="shared" si="37"/>
        <v>2582.9810297591998</v>
      </c>
      <c r="W93" s="57">
        <f t="shared" si="38"/>
        <v>43194.181029759195</v>
      </c>
      <c r="Y93" s="1"/>
      <c r="AC93" s="1"/>
      <c r="AD93" s="59">
        <f t="shared" si="32"/>
        <v>1.2914905148795999</v>
      </c>
      <c r="AE93" s="1">
        <f t="shared" si="39"/>
        <v>21.597090514879596</v>
      </c>
      <c r="AF93" s="1">
        <v>0</v>
      </c>
    </row>
    <row r="94" spans="1:32" x14ac:dyDescent="0.25">
      <c r="A94" s="33" t="s">
        <v>25</v>
      </c>
      <c r="B94" s="2" t="s">
        <v>26</v>
      </c>
      <c r="C94" s="3">
        <v>45691</v>
      </c>
      <c r="D94" s="6" t="s">
        <v>162</v>
      </c>
      <c r="E94" s="2" t="s">
        <v>40</v>
      </c>
      <c r="F94" s="1">
        <v>1000</v>
      </c>
      <c r="G94" s="96">
        <v>45721</v>
      </c>
      <c r="H94" s="4" t="s">
        <v>163</v>
      </c>
      <c r="I94" s="2" t="s">
        <v>40</v>
      </c>
      <c r="J94" s="52">
        <v>1000</v>
      </c>
      <c r="K94" s="6">
        <f t="shared" si="33"/>
        <v>12.431999999999999</v>
      </c>
      <c r="L94" s="57">
        <f t="shared" si="31"/>
        <v>12431.999999999998</v>
      </c>
      <c r="M94" s="59" t="s">
        <v>164</v>
      </c>
      <c r="N94" s="3">
        <v>45707</v>
      </c>
      <c r="O94" s="2" t="s">
        <v>40</v>
      </c>
      <c r="P94" s="9">
        <v>1000</v>
      </c>
      <c r="Q94" s="54">
        <v>1.2</v>
      </c>
      <c r="R94" s="55">
        <f t="shared" si="34"/>
        <v>1200</v>
      </c>
      <c r="S94" s="56">
        <v>10.36</v>
      </c>
      <c r="T94" s="1">
        <f t="shared" si="35"/>
        <v>12.431999999999999</v>
      </c>
      <c r="U94" s="57">
        <f t="shared" si="36"/>
        <v>12431.999999999998</v>
      </c>
      <c r="V94" s="58">
        <f t="shared" si="37"/>
        <v>1291.4905148795999</v>
      </c>
      <c r="W94" s="57">
        <f t="shared" si="38"/>
        <v>13723.490514879599</v>
      </c>
      <c r="Y94" s="1"/>
      <c r="AC94" s="1"/>
      <c r="AD94" s="59">
        <f t="shared" si="32"/>
        <v>1.2914905148795999</v>
      </c>
      <c r="AE94" s="1">
        <f t="shared" si="39"/>
        <v>13.723490514879598</v>
      </c>
      <c r="AF94" s="1">
        <v>0</v>
      </c>
    </row>
    <row r="95" spans="1:32" x14ac:dyDescent="0.25">
      <c r="A95" s="33" t="s">
        <v>25</v>
      </c>
      <c r="B95" s="2" t="s">
        <v>26</v>
      </c>
      <c r="C95" s="3">
        <v>45691</v>
      </c>
      <c r="D95" s="6" t="s">
        <v>162</v>
      </c>
      <c r="E95" s="2" t="s">
        <v>147</v>
      </c>
      <c r="F95" s="1">
        <v>1000</v>
      </c>
      <c r="G95" s="96">
        <v>45721</v>
      </c>
      <c r="H95" s="4" t="s">
        <v>163</v>
      </c>
      <c r="I95" s="2" t="s">
        <v>147</v>
      </c>
      <c r="J95" s="52">
        <v>1000</v>
      </c>
      <c r="K95" s="6">
        <f t="shared" si="33"/>
        <v>4.1440000000000001</v>
      </c>
      <c r="L95" s="57">
        <f t="shared" si="31"/>
        <v>4144</v>
      </c>
      <c r="M95" s="59" t="s">
        <v>164</v>
      </c>
      <c r="N95" s="3">
        <v>45707</v>
      </c>
      <c r="O95" s="2" t="s">
        <v>147</v>
      </c>
      <c r="P95" s="9">
        <v>1000</v>
      </c>
      <c r="Q95" s="54">
        <v>0.4</v>
      </c>
      <c r="R95" s="55">
        <f t="shared" si="34"/>
        <v>400</v>
      </c>
      <c r="S95" s="56">
        <v>10.36</v>
      </c>
      <c r="T95" s="1">
        <f t="shared" si="35"/>
        <v>4.1440000000000001</v>
      </c>
      <c r="U95" s="57">
        <f t="shared" si="36"/>
        <v>4144</v>
      </c>
      <c r="V95" s="58">
        <f t="shared" si="37"/>
        <v>1291.4905148795999</v>
      </c>
      <c r="W95" s="57">
        <f t="shared" si="38"/>
        <v>5435.4905148795997</v>
      </c>
      <c r="Y95" s="1"/>
      <c r="AC95" s="1"/>
      <c r="AD95" s="74">
        <f t="shared" si="32"/>
        <v>1.2914905148795999</v>
      </c>
      <c r="AE95" s="98">
        <f t="shared" si="39"/>
        <v>5.4354905148796</v>
      </c>
      <c r="AF95" s="1">
        <v>0</v>
      </c>
    </row>
    <row r="96" spans="1:32" x14ac:dyDescent="0.25">
      <c r="A96" s="33" t="s">
        <v>25</v>
      </c>
      <c r="B96" s="2" t="s">
        <v>26</v>
      </c>
      <c r="C96" s="3">
        <v>45691</v>
      </c>
      <c r="D96" s="6" t="s">
        <v>162</v>
      </c>
      <c r="E96" s="2" t="s">
        <v>46</v>
      </c>
      <c r="F96" s="1">
        <v>950</v>
      </c>
      <c r="G96" s="96">
        <v>45721</v>
      </c>
      <c r="H96" s="4" t="s">
        <v>163</v>
      </c>
      <c r="I96" s="2" t="s">
        <v>46</v>
      </c>
      <c r="J96" s="52">
        <v>950</v>
      </c>
      <c r="K96" s="6">
        <f t="shared" si="33"/>
        <v>37.295999999999999</v>
      </c>
      <c r="L96" s="57">
        <f t="shared" si="31"/>
        <v>35431.199999999997</v>
      </c>
      <c r="M96" s="59" t="s">
        <v>164</v>
      </c>
      <c r="N96" s="3">
        <v>45707</v>
      </c>
      <c r="O96" s="2" t="s">
        <v>46</v>
      </c>
      <c r="P96" s="9">
        <v>950</v>
      </c>
      <c r="Q96" s="54">
        <v>3.6</v>
      </c>
      <c r="R96" s="55">
        <f t="shared" si="34"/>
        <v>3420</v>
      </c>
      <c r="S96" s="56">
        <v>10.36</v>
      </c>
      <c r="T96" s="1">
        <f t="shared" si="35"/>
        <v>37.295999999999999</v>
      </c>
      <c r="U96" s="57">
        <f t="shared" si="36"/>
        <v>35431.199999999997</v>
      </c>
      <c r="V96" s="58">
        <f t="shared" si="37"/>
        <v>1226.9159891356198</v>
      </c>
      <c r="W96" s="57">
        <f t="shared" si="38"/>
        <v>36658.115989135615</v>
      </c>
      <c r="Y96" s="1"/>
      <c r="AC96" s="1"/>
      <c r="AD96" s="74">
        <f t="shared" si="32"/>
        <v>1.2914905148795999</v>
      </c>
      <c r="AE96" s="98">
        <f t="shared" si="39"/>
        <v>38.587490514879597</v>
      </c>
      <c r="AF96" s="1">
        <v>0</v>
      </c>
    </row>
    <row r="97" spans="1:32" x14ac:dyDescent="0.25">
      <c r="A97" s="33" t="s">
        <v>25</v>
      </c>
      <c r="B97" s="2" t="s">
        <v>26</v>
      </c>
      <c r="C97" s="3">
        <v>45691</v>
      </c>
      <c r="D97" s="6" t="s">
        <v>162</v>
      </c>
      <c r="E97" s="2" t="s">
        <v>52</v>
      </c>
      <c r="F97" s="1">
        <v>2000</v>
      </c>
      <c r="G97" s="96">
        <v>45721</v>
      </c>
      <c r="H97" s="4" t="s">
        <v>163</v>
      </c>
      <c r="I97" s="2" t="s">
        <v>52</v>
      </c>
      <c r="J97" s="52">
        <v>2000</v>
      </c>
      <c r="K97" s="6">
        <f t="shared" si="33"/>
        <v>8.9095999999999993</v>
      </c>
      <c r="L97" s="57">
        <f t="shared" si="31"/>
        <v>17819.199999999997</v>
      </c>
      <c r="M97" s="59" t="s">
        <v>164</v>
      </c>
      <c r="N97" s="3">
        <v>45707</v>
      </c>
      <c r="O97" s="2" t="s">
        <v>52</v>
      </c>
      <c r="P97" s="9">
        <v>2000</v>
      </c>
      <c r="Q97" s="54">
        <v>0.86</v>
      </c>
      <c r="R97" s="55">
        <f t="shared" si="34"/>
        <v>1720</v>
      </c>
      <c r="S97" s="56">
        <v>10.36</v>
      </c>
      <c r="T97" s="1">
        <f t="shared" si="35"/>
        <v>8.9095999999999993</v>
      </c>
      <c r="U97" s="57">
        <f t="shared" si="36"/>
        <v>17819.199999999997</v>
      </c>
      <c r="V97" s="58">
        <f t="shared" si="37"/>
        <v>2582.9810297591998</v>
      </c>
      <c r="W97" s="57">
        <f t="shared" si="38"/>
        <v>20402.181029759198</v>
      </c>
      <c r="Y97" s="1"/>
      <c r="AC97" s="1"/>
      <c r="AD97" s="59">
        <f t="shared" si="32"/>
        <v>1.2914905148795999</v>
      </c>
      <c r="AE97" s="1">
        <f t="shared" si="39"/>
        <v>10.201090514879599</v>
      </c>
      <c r="AF97" s="1">
        <v>0</v>
      </c>
    </row>
    <row r="98" spans="1:32" x14ac:dyDescent="0.25">
      <c r="A98" s="33" t="s">
        <v>25</v>
      </c>
      <c r="B98" s="60" t="s">
        <v>26</v>
      </c>
      <c r="C98" s="61">
        <v>45691</v>
      </c>
      <c r="D98" s="65" t="s">
        <v>162</v>
      </c>
      <c r="E98" s="60" t="s">
        <v>28</v>
      </c>
      <c r="F98" s="67">
        <v>6000</v>
      </c>
      <c r="G98" s="75">
        <v>45721</v>
      </c>
      <c r="H98" s="63" t="s">
        <v>163</v>
      </c>
      <c r="I98" s="60" t="s">
        <v>28</v>
      </c>
      <c r="J98" s="64">
        <v>6000</v>
      </c>
      <c r="K98" s="65">
        <f t="shared" si="33"/>
        <v>11.396000000000001</v>
      </c>
      <c r="L98" s="71">
        <f t="shared" si="31"/>
        <v>68376</v>
      </c>
      <c r="M98" s="73" t="s">
        <v>164</v>
      </c>
      <c r="N98" s="61">
        <v>45707</v>
      </c>
      <c r="O98" s="60" t="s">
        <v>28</v>
      </c>
      <c r="P98" s="31">
        <v>6000</v>
      </c>
      <c r="Q98" s="68">
        <v>1.1000000000000001</v>
      </c>
      <c r="R98" s="69">
        <f t="shared" si="34"/>
        <v>6600.0000000000009</v>
      </c>
      <c r="S98" s="70">
        <v>10.36</v>
      </c>
      <c r="T98" s="67">
        <f t="shared" si="35"/>
        <v>11.396000000000001</v>
      </c>
      <c r="U98" s="71">
        <f t="shared" si="36"/>
        <v>68376</v>
      </c>
      <c r="V98" s="72">
        <f t="shared" si="37"/>
        <v>7748.943089277599</v>
      </c>
      <c r="W98" s="71">
        <f t="shared" si="38"/>
        <v>76124.9430892776</v>
      </c>
      <c r="X98" s="67"/>
      <c r="Y98" s="67"/>
      <c r="Z98" s="67"/>
      <c r="AA98" s="67"/>
      <c r="AB98" s="67"/>
      <c r="AC98" s="67"/>
      <c r="AD98" s="73">
        <f t="shared" si="32"/>
        <v>1.2914905148795999</v>
      </c>
      <c r="AE98" s="67">
        <f t="shared" si="39"/>
        <v>12.687490514879601</v>
      </c>
      <c r="AF98" s="67">
        <v>0</v>
      </c>
    </row>
    <row r="99" spans="1:32" x14ac:dyDescent="0.25">
      <c r="A99" s="49" t="s">
        <v>31</v>
      </c>
      <c r="B99" s="34" t="s">
        <v>101</v>
      </c>
      <c r="C99" s="35">
        <v>45672</v>
      </c>
      <c r="D99" s="36" t="s">
        <v>166</v>
      </c>
      <c r="E99" s="34" t="s">
        <v>128</v>
      </c>
      <c r="F99" s="37">
        <v>25000</v>
      </c>
      <c r="G99" s="35">
        <v>45721</v>
      </c>
      <c r="H99" s="38" t="s">
        <v>167</v>
      </c>
      <c r="I99" s="34" t="s">
        <v>128</v>
      </c>
      <c r="J99" s="39">
        <v>25000</v>
      </c>
      <c r="K99" s="36">
        <v>12.5</v>
      </c>
      <c r="L99" s="40">
        <f t="shared" si="31"/>
        <v>312500</v>
      </c>
      <c r="M99" s="41" t="s">
        <v>168</v>
      </c>
      <c r="N99" s="35">
        <v>45728</v>
      </c>
      <c r="O99" s="34" t="s">
        <v>128</v>
      </c>
      <c r="P99" s="42">
        <v>25000</v>
      </c>
      <c r="Q99" s="43"/>
      <c r="R99" s="44"/>
      <c r="S99" s="45"/>
      <c r="T99" s="41">
        <v>12.5</v>
      </c>
      <c r="U99" s="46">
        <f>T99*P99</f>
        <v>312500</v>
      </c>
      <c r="V99" s="47">
        <v>62500</v>
      </c>
      <c r="W99" s="40">
        <f>V99+U99</f>
        <v>375000</v>
      </c>
      <c r="X99" s="41"/>
      <c r="Y99" s="37"/>
      <c r="Z99" s="41"/>
      <c r="AA99" s="41"/>
      <c r="AB99" s="41"/>
      <c r="AC99" s="41"/>
      <c r="AD99" s="48">
        <f t="shared" si="32"/>
        <v>2.5</v>
      </c>
      <c r="AE99" s="41">
        <f t="shared" si="39"/>
        <v>15</v>
      </c>
      <c r="AF99" s="41">
        <v>0</v>
      </c>
    </row>
    <row r="100" spans="1:32" ht="0.75" customHeight="1" x14ac:dyDescent="0.25">
      <c r="B100" s="34" t="s">
        <v>89</v>
      </c>
      <c r="C100" s="35">
        <v>45721</v>
      </c>
      <c r="D100" s="36" t="s">
        <v>169</v>
      </c>
      <c r="E100" s="34" t="s">
        <v>170</v>
      </c>
      <c r="F100" s="37">
        <v>2000</v>
      </c>
      <c r="G100" s="35">
        <v>45721</v>
      </c>
      <c r="H100" s="38" t="s">
        <v>171</v>
      </c>
      <c r="I100" s="34" t="s">
        <v>170</v>
      </c>
      <c r="J100" s="39">
        <v>2000</v>
      </c>
      <c r="K100" s="36">
        <v>38.5</v>
      </c>
      <c r="L100" s="40">
        <f t="shared" si="31"/>
        <v>77000</v>
      </c>
      <c r="M100" s="41">
        <v>250304</v>
      </c>
      <c r="N100" s="35">
        <v>45747</v>
      </c>
      <c r="O100" s="34"/>
      <c r="P100" s="42">
        <v>2000</v>
      </c>
      <c r="Q100" s="43"/>
      <c r="R100" s="44"/>
      <c r="S100" s="45"/>
      <c r="T100" s="41">
        <v>38.5</v>
      </c>
      <c r="U100" s="46"/>
      <c r="V100" s="47"/>
      <c r="W100" s="40"/>
      <c r="X100" s="41"/>
      <c r="Y100" s="37"/>
      <c r="Z100" s="41"/>
      <c r="AA100" s="41"/>
      <c r="AB100" s="41"/>
      <c r="AC100" s="41"/>
      <c r="AD100" s="48"/>
      <c r="AE100" s="41"/>
      <c r="AF100" s="41"/>
    </row>
    <row r="101" spans="1:32" x14ac:dyDescent="0.25">
      <c r="A101" s="49" t="s">
        <v>31</v>
      </c>
      <c r="B101" s="76" t="s">
        <v>74</v>
      </c>
      <c r="C101" s="77">
        <v>45720</v>
      </c>
      <c r="D101" s="50" t="s">
        <v>172</v>
      </c>
      <c r="E101" s="76" t="s">
        <v>77</v>
      </c>
      <c r="F101" s="78">
        <v>4000</v>
      </c>
      <c r="G101" s="77">
        <v>45722</v>
      </c>
      <c r="H101" s="79" t="s">
        <v>173</v>
      </c>
      <c r="I101" s="76" t="s">
        <v>77</v>
      </c>
      <c r="J101" s="80">
        <v>4000</v>
      </c>
      <c r="K101" s="50">
        <v>12.3</v>
      </c>
      <c r="L101" s="81">
        <f t="shared" si="31"/>
        <v>49200</v>
      </c>
      <c r="M101" s="82">
        <v>145209</v>
      </c>
      <c r="N101" s="77">
        <v>45744</v>
      </c>
      <c r="O101" s="76" t="s">
        <v>77</v>
      </c>
      <c r="P101" s="83">
        <v>4000</v>
      </c>
      <c r="Q101" s="84"/>
      <c r="R101" s="85"/>
      <c r="S101" s="86"/>
      <c r="T101" s="82">
        <v>12.3</v>
      </c>
      <c r="U101" s="87">
        <f>T101*P101</f>
        <v>49200</v>
      </c>
      <c r="V101" s="88"/>
      <c r="W101" s="81">
        <f>V101+U101</f>
        <v>49200</v>
      </c>
      <c r="X101" s="82"/>
      <c r="Y101" s="78"/>
      <c r="Z101" s="82"/>
      <c r="AA101" s="82"/>
      <c r="AB101" s="82"/>
      <c r="AC101" s="82"/>
      <c r="AD101" s="89">
        <f>V101/P101</f>
        <v>0</v>
      </c>
      <c r="AE101" s="82">
        <f>T101+AD101</f>
        <v>12.3</v>
      </c>
      <c r="AF101" s="82">
        <v>0</v>
      </c>
    </row>
    <row r="102" spans="1:32" x14ac:dyDescent="0.25">
      <c r="A102" s="49" t="s">
        <v>31</v>
      </c>
      <c r="B102" s="60" t="s">
        <v>74</v>
      </c>
      <c r="C102" s="61">
        <v>45720</v>
      </c>
      <c r="D102" s="65" t="s">
        <v>172</v>
      </c>
      <c r="E102" s="60" t="s">
        <v>174</v>
      </c>
      <c r="F102" s="62">
        <v>3000</v>
      </c>
      <c r="G102" s="61">
        <v>45722</v>
      </c>
      <c r="H102" s="63" t="s">
        <v>173</v>
      </c>
      <c r="I102" s="60" t="s">
        <v>174</v>
      </c>
      <c r="J102" s="64">
        <v>3000</v>
      </c>
      <c r="K102" s="65">
        <v>6.5</v>
      </c>
      <c r="L102" s="66">
        <f t="shared" si="31"/>
        <v>19500</v>
      </c>
      <c r="M102" s="67">
        <v>145209</v>
      </c>
      <c r="N102" s="61">
        <v>45744</v>
      </c>
      <c r="O102" s="60" t="s">
        <v>174</v>
      </c>
      <c r="P102" s="31">
        <v>3000</v>
      </c>
      <c r="Q102" s="68"/>
      <c r="R102" s="69"/>
      <c r="S102" s="70"/>
      <c r="T102" s="67">
        <v>6.5</v>
      </c>
      <c r="U102" s="71">
        <f>T102*P102</f>
        <v>19500</v>
      </c>
      <c r="V102" s="72"/>
      <c r="W102" s="66">
        <f>V102+U102</f>
        <v>19500</v>
      </c>
      <c r="X102" s="67"/>
      <c r="Y102" s="62"/>
      <c r="Z102" s="67"/>
      <c r="AA102" s="67"/>
      <c r="AB102" s="67"/>
      <c r="AC102" s="67"/>
      <c r="AD102" s="73">
        <f>V102/P102</f>
        <v>0</v>
      </c>
      <c r="AE102" s="67">
        <f>T102+AD102</f>
        <v>6.5</v>
      </c>
      <c r="AF102" s="67">
        <v>0</v>
      </c>
    </row>
    <row r="103" spans="1:32" x14ac:dyDescent="0.25">
      <c r="A103" s="49" t="s">
        <v>31</v>
      </c>
      <c r="B103" s="34" t="s">
        <v>101</v>
      </c>
      <c r="C103" s="35">
        <v>45722</v>
      </c>
      <c r="D103" s="36" t="s">
        <v>175</v>
      </c>
      <c r="E103" s="34" t="s">
        <v>75</v>
      </c>
      <c r="F103" s="37">
        <v>10000</v>
      </c>
      <c r="G103" s="35">
        <v>45722</v>
      </c>
      <c r="H103" s="38" t="s">
        <v>176</v>
      </c>
      <c r="I103" s="34" t="s">
        <v>177</v>
      </c>
      <c r="J103" s="39">
        <v>10000</v>
      </c>
      <c r="K103" s="36">
        <v>12.5</v>
      </c>
      <c r="L103" s="40">
        <f t="shared" si="31"/>
        <v>125000</v>
      </c>
      <c r="M103" s="41" t="s">
        <v>178</v>
      </c>
      <c r="N103" s="35">
        <v>45731</v>
      </c>
      <c r="O103" s="34" t="s">
        <v>179</v>
      </c>
      <c r="P103" s="42">
        <v>10000</v>
      </c>
      <c r="Q103" s="43"/>
      <c r="R103" s="44"/>
      <c r="S103" s="45"/>
      <c r="T103" s="41">
        <v>12</v>
      </c>
      <c r="U103" s="46">
        <f>T103*P103</f>
        <v>120000</v>
      </c>
      <c r="V103" s="47">
        <v>24000</v>
      </c>
      <c r="W103" s="40">
        <f>V103+U103</f>
        <v>144000</v>
      </c>
      <c r="X103" s="41"/>
      <c r="Y103" s="37"/>
      <c r="Z103" s="41"/>
      <c r="AA103" s="41"/>
      <c r="AB103" s="41"/>
      <c r="AC103" s="41"/>
      <c r="AD103" s="48">
        <f t="shared" ref="AD103" si="40">V103/P103</f>
        <v>2.4</v>
      </c>
      <c r="AE103" s="41">
        <f t="shared" ref="AE103" si="41">T103+AD103</f>
        <v>14.4</v>
      </c>
      <c r="AF103" s="41">
        <v>0</v>
      </c>
    </row>
    <row r="104" spans="1:32" x14ac:dyDescent="0.25">
      <c r="A104" s="49" t="s">
        <v>31</v>
      </c>
      <c r="B104" s="34" t="s">
        <v>70</v>
      </c>
      <c r="C104" s="35">
        <v>45727</v>
      </c>
      <c r="D104" s="36" t="s">
        <v>175</v>
      </c>
      <c r="E104" s="34" t="s">
        <v>72</v>
      </c>
      <c r="F104" s="37">
        <v>16000</v>
      </c>
      <c r="G104" s="35">
        <v>45727</v>
      </c>
      <c r="H104" s="38" t="s">
        <v>180</v>
      </c>
      <c r="I104" s="34" t="s">
        <v>72</v>
      </c>
      <c r="J104" s="39">
        <v>17740</v>
      </c>
      <c r="K104" s="36">
        <v>0.4</v>
      </c>
      <c r="L104" s="40">
        <f t="shared" si="31"/>
        <v>7096</v>
      </c>
      <c r="M104" s="41">
        <v>537</v>
      </c>
      <c r="N104" s="35">
        <v>45728</v>
      </c>
      <c r="O104" s="34" t="s">
        <v>72</v>
      </c>
      <c r="P104" s="42">
        <v>17740</v>
      </c>
      <c r="Q104" s="43"/>
      <c r="R104" s="44"/>
      <c r="S104" s="45"/>
      <c r="T104" s="41">
        <v>0.4</v>
      </c>
      <c r="U104" s="46">
        <v>7096</v>
      </c>
      <c r="V104" s="47">
        <v>300</v>
      </c>
      <c r="W104" s="40">
        <f>+V104+U104</f>
        <v>7396</v>
      </c>
      <c r="X104" s="41"/>
      <c r="Y104" s="37"/>
      <c r="Z104" s="41"/>
      <c r="AA104" s="41"/>
      <c r="AB104" s="41"/>
      <c r="AC104" s="41"/>
      <c r="AD104" s="48">
        <f>V104/P104</f>
        <v>1.6910935738444193E-2</v>
      </c>
      <c r="AE104" s="41"/>
      <c r="AF104" s="41"/>
    </row>
    <row r="105" spans="1:32" x14ac:dyDescent="0.25">
      <c r="A105" s="49" t="s">
        <v>31</v>
      </c>
      <c r="B105" s="34" t="s">
        <v>101</v>
      </c>
      <c r="C105" s="35">
        <v>45726</v>
      </c>
      <c r="D105" s="36" t="s">
        <v>181</v>
      </c>
      <c r="E105" s="34" t="s">
        <v>182</v>
      </c>
      <c r="F105" s="37">
        <v>6000</v>
      </c>
      <c r="G105" s="35">
        <v>45729</v>
      </c>
      <c r="H105" s="38" t="s">
        <v>183</v>
      </c>
      <c r="I105" s="34" t="s">
        <v>105</v>
      </c>
      <c r="J105" s="39">
        <v>2225</v>
      </c>
      <c r="K105" s="36">
        <v>13.5</v>
      </c>
      <c r="L105" s="40">
        <f t="shared" si="31"/>
        <v>30037.5</v>
      </c>
      <c r="M105" s="82" t="s">
        <v>117</v>
      </c>
      <c r="N105" s="77">
        <v>45713</v>
      </c>
      <c r="O105" s="76" t="s">
        <v>105</v>
      </c>
      <c r="P105" s="42">
        <v>2225</v>
      </c>
      <c r="Q105" s="43"/>
      <c r="R105" s="44"/>
      <c r="S105" s="45"/>
      <c r="T105" s="41">
        <v>13.5</v>
      </c>
      <c r="U105" s="46">
        <f>+T105*P105</f>
        <v>30037.5</v>
      </c>
      <c r="V105" s="47"/>
      <c r="W105" s="40"/>
      <c r="X105" s="41"/>
      <c r="Y105" s="37"/>
      <c r="Z105" s="41"/>
      <c r="AA105" s="41"/>
      <c r="AB105" s="41"/>
      <c r="AC105" s="41"/>
      <c r="AD105" s="48">
        <f t="shared" ref="AD105:AD112" si="42">V105/P105</f>
        <v>0</v>
      </c>
      <c r="AE105" s="41">
        <f t="shared" ref="AE105:AE112" si="43">T105+AD105</f>
        <v>13.5</v>
      </c>
      <c r="AF105" s="41">
        <v>0</v>
      </c>
    </row>
    <row r="106" spans="1:32" x14ac:dyDescent="0.25">
      <c r="A106" s="49" t="s">
        <v>31</v>
      </c>
      <c r="B106" s="76" t="s">
        <v>78</v>
      </c>
      <c r="C106" s="77">
        <v>45726</v>
      </c>
      <c r="D106" s="50" t="s">
        <v>184</v>
      </c>
      <c r="E106" s="76" t="s">
        <v>80</v>
      </c>
      <c r="F106" s="78">
        <v>5400</v>
      </c>
      <c r="G106" s="77">
        <v>45729</v>
      </c>
      <c r="H106" s="79" t="s">
        <v>185</v>
      </c>
      <c r="I106" s="76" t="s">
        <v>80</v>
      </c>
      <c r="J106" s="80">
        <v>5400</v>
      </c>
      <c r="K106" s="50">
        <v>4</v>
      </c>
      <c r="L106" s="81">
        <f t="shared" si="31"/>
        <v>21600</v>
      </c>
      <c r="M106" s="82" t="s">
        <v>186</v>
      </c>
      <c r="N106" s="77">
        <v>45728</v>
      </c>
      <c r="O106" s="76" t="s">
        <v>80</v>
      </c>
      <c r="P106" s="83">
        <v>5400</v>
      </c>
      <c r="Q106" s="84"/>
      <c r="R106" s="85"/>
      <c r="S106" s="86"/>
      <c r="T106" s="82">
        <v>4</v>
      </c>
      <c r="U106" s="87">
        <f t="shared" ref="U106:U111" si="44">T106*P106</f>
        <v>21600</v>
      </c>
      <c r="V106" s="88">
        <f t="shared" ref="V106:V111" si="45">W106-U106</f>
        <v>4320</v>
      </c>
      <c r="W106" s="81">
        <v>25920</v>
      </c>
      <c r="X106" s="82"/>
      <c r="Y106" s="78"/>
      <c r="Z106" s="82"/>
      <c r="AA106" s="82"/>
      <c r="AB106" s="82"/>
      <c r="AC106" s="82"/>
      <c r="AD106" s="89">
        <f t="shared" si="42"/>
        <v>0.8</v>
      </c>
      <c r="AE106" s="82">
        <f t="shared" si="43"/>
        <v>4.8</v>
      </c>
      <c r="AF106" s="82">
        <v>0</v>
      </c>
    </row>
    <row r="107" spans="1:32" x14ac:dyDescent="0.25">
      <c r="A107" s="49" t="s">
        <v>31</v>
      </c>
      <c r="B107" s="2" t="s">
        <v>78</v>
      </c>
      <c r="C107" s="3">
        <v>45727</v>
      </c>
      <c r="D107" s="6" t="s">
        <v>184</v>
      </c>
      <c r="E107" s="2" t="s">
        <v>86</v>
      </c>
      <c r="F107" s="51">
        <v>1000</v>
      </c>
      <c r="G107" s="3">
        <v>45729</v>
      </c>
      <c r="H107" s="4" t="s">
        <v>185</v>
      </c>
      <c r="I107" s="2" t="s">
        <v>86</v>
      </c>
      <c r="J107" s="52">
        <v>1000</v>
      </c>
      <c r="K107" s="6">
        <v>9.5</v>
      </c>
      <c r="L107" s="53">
        <f t="shared" si="31"/>
        <v>9500</v>
      </c>
      <c r="M107" s="1" t="s">
        <v>186</v>
      </c>
      <c r="N107" s="3">
        <v>45728</v>
      </c>
      <c r="O107" s="2" t="s">
        <v>86</v>
      </c>
      <c r="P107" s="9">
        <v>1000</v>
      </c>
      <c r="Q107" s="54"/>
      <c r="R107" s="55"/>
      <c r="S107" s="56"/>
      <c r="T107" s="1">
        <v>9.5</v>
      </c>
      <c r="U107" s="57">
        <f t="shared" si="44"/>
        <v>9500</v>
      </c>
      <c r="V107" s="58">
        <f t="shared" si="45"/>
        <v>1900</v>
      </c>
      <c r="W107" s="53">
        <v>11400</v>
      </c>
      <c r="AC107" s="1"/>
      <c r="AD107" s="59">
        <f t="shared" si="42"/>
        <v>1.9</v>
      </c>
      <c r="AE107" s="1">
        <f t="shared" si="43"/>
        <v>11.4</v>
      </c>
      <c r="AF107" s="1">
        <v>0</v>
      </c>
    </row>
    <row r="108" spans="1:32" x14ac:dyDescent="0.25">
      <c r="A108" s="49" t="s">
        <v>31</v>
      </c>
      <c r="B108" s="2" t="s">
        <v>78</v>
      </c>
      <c r="C108" s="3">
        <v>45728</v>
      </c>
      <c r="D108" s="6" t="s">
        <v>184</v>
      </c>
      <c r="E108" s="2" t="s">
        <v>84</v>
      </c>
      <c r="F108" s="51">
        <v>2000</v>
      </c>
      <c r="G108" s="3">
        <v>45729</v>
      </c>
      <c r="H108" s="4" t="s">
        <v>185</v>
      </c>
      <c r="I108" s="2" t="s">
        <v>84</v>
      </c>
      <c r="J108" s="52">
        <v>2000</v>
      </c>
      <c r="K108" s="6">
        <v>4.3</v>
      </c>
      <c r="L108" s="53">
        <f t="shared" si="31"/>
        <v>8600</v>
      </c>
      <c r="M108" s="1" t="s">
        <v>186</v>
      </c>
      <c r="N108" s="3">
        <v>45728</v>
      </c>
      <c r="O108" s="2" t="s">
        <v>84</v>
      </c>
      <c r="P108" s="9">
        <v>2000</v>
      </c>
      <c r="Q108" s="54"/>
      <c r="R108" s="55"/>
      <c r="S108" s="56"/>
      <c r="T108" s="1">
        <v>4.3</v>
      </c>
      <c r="U108" s="57">
        <f t="shared" si="44"/>
        <v>8600</v>
      </c>
      <c r="V108" s="58">
        <f t="shared" si="45"/>
        <v>1720</v>
      </c>
      <c r="W108" s="53">
        <v>10320</v>
      </c>
      <c r="AC108" s="1"/>
      <c r="AD108" s="59">
        <f t="shared" si="42"/>
        <v>0.86</v>
      </c>
      <c r="AE108" s="1">
        <f t="shared" si="43"/>
        <v>5.16</v>
      </c>
      <c r="AF108" s="1">
        <v>0</v>
      </c>
    </row>
    <row r="109" spans="1:32" x14ac:dyDescent="0.25">
      <c r="A109" s="49" t="s">
        <v>31</v>
      </c>
      <c r="B109" s="2" t="s">
        <v>78</v>
      </c>
      <c r="C109" s="3">
        <v>45729</v>
      </c>
      <c r="D109" s="6" t="s">
        <v>184</v>
      </c>
      <c r="E109" s="2" t="s">
        <v>83</v>
      </c>
      <c r="F109" s="51">
        <v>2000</v>
      </c>
      <c r="G109" s="3">
        <v>45729</v>
      </c>
      <c r="H109" s="4" t="s">
        <v>185</v>
      </c>
      <c r="I109" s="2" t="s">
        <v>83</v>
      </c>
      <c r="J109" s="52">
        <v>2000</v>
      </c>
      <c r="K109" s="6">
        <v>5</v>
      </c>
      <c r="L109" s="53">
        <f t="shared" si="31"/>
        <v>10000</v>
      </c>
      <c r="M109" s="1" t="s">
        <v>186</v>
      </c>
      <c r="N109" s="3">
        <v>45728</v>
      </c>
      <c r="O109" s="2" t="s">
        <v>83</v>
      </c>
      <c r="P109" s="9">
        <v>2000</v>
      </c>
      <c r="Q109" s="54"/>
      <c r="R109" s="55"/>
      <c r="S109" s="56"/>
      <c r="T109" s="1">
        <v>5</v>
      </c>
      <c r="U109" s="57">
        <f t="shared" si="44"/>
        <v>10000</v>
      </c>
      <c r="V109" s="58">
        <f t="shared" si="45"/>
        <v>2000</v>
      </c>
      <c r="W109" s="53">
        <v>12000</v>
      </c>
      <c r="AC109" s="1"/>
      <c r="AD109" s="59">
        <f t="shared" si="42"/>
        <v>1</v>
      </c>
      <c r="AE109" s="1">
        <f t="shared" si="43"/>
        <v>6</v>
      </c>
      <c r="AF109" s="1">
        <v>0</v>
      </c>
    </row>
    <row r="110" spans="1:32" x14ac:dyDescent="0.25">
      <c r="A110" s="49" t="s">
        <v>31</v>
      </c>
      <c r="B110" s="2" t="s">
        <v>78</v>
      </c>
      <c r="C110" s="3">
        <v>45730</v>
      </c>
      <c r="D110" s="6" t="s">
        <v>184</v>
      </c>
      <c r="E110" s="2" t="s">
        <v>85</v>
      </c>
      <c r="F110" s="51">
        <v>1000</v>
      </c>
      <c r="G110" s="3">
        <v>45729</v>
      </c>
      <c r="H110" s="4" t="s">
        <v>185</v>
      </c>
      <c r="I110" s="2" t="s">
        <v>138</v>
      </c>
      <c r="J110" s="52">
        <v>2000</v>
      </c>
      <c r="K110" s="6">
        <v>7.5</v>
      </c>
      <c r="L110" s="53">
        <f t="shared" si="31"/>
        <v>15000</v>
      </c>
      <c r="M110" s="1" t="s">
        <v>186</v>
      </c>
      <c r="N110" s="3">
        <v>45728</v>
      </c>
      <c r="O110" s="2" t="s">
        <v>138</v>
      </c>
      <c r="P110" s="9">
        <v>2000</v>
      </c>
      <c r="Q110" s="54"/>
      <c r="R110" s="55"/>
      <c r="S110" s="56"/>
      <c r="T110" s="1">
        <v>7.5</v>
      </c>
      <c r="U110" s="57">
        <f t="shared" si="44"/>
        <v>15000</v>
      </c>
      <c r="V110" s="58">
        <f t="shared" si="45"/>
        <v>3000</v>
      </c>
      <c r="W110" s="53">
        <v>18000</v>
      </c>
      <c r="AC110" s="1"/>
      <c r="AD110" s="74">
        <f t="shared" si="42"/>
        <v>1.5</v>
      </c>
      <c r="AE110" s="98">
        <f t="shared" si="43"/>
        <v>9</v>
      </c>
      <c r="AF110" s="1">
        <v>0</v>
      </c>
    </row>
    <row r="111" spans="1:32" x14ac:dyDescent="0.25">
      <c r="A111" s="49" t="s">
        <v>31</v>
      </c>
      <c r="B111" s="60" t="s">
        <v>78</v>
      </c>
      <c r="C111" s="61">
        <v>45731</v>
      </c>
      <c r="D111" s="65" t="s">
        <v>184</v>
      </c>
      <c r="E111" s="60" t="s">
        <v>122</v>
      </c>
      <c r="F111" s="62">
        <v>1000</v>
      </c>
      <c r="G111" s="61">
        <v>45729</v>
      </c>
      <c r="H111" s="102" t="s">
        <v>185</v>
      </c>
      <c r="I111" s="60" t="s">
        <v>122</v>
      </c>
      <c r="J111" s="64">
        <v>1000</v>
      </c>
      <c r="K111" s="65">
        <v>6</v>
      </c>
      <c r="L111" s="66">
        <f t="shared" si="31"/>
        <v>6000</v>
      </c>
      <c r="M111" s="67" t="s">
        <v>186</v>
      </c>
      <c r="N111" s="61">
        <v>45728</v>
      </c>
      <c r="O111" s="60" t="s">
        <v>122</v>
      </c>
      <c r="P111" s="31">
        <v>1000</v>
      </c>
      <c r="Q111" s="68"/>
      <c r="R111" s="69"/>
      <c r="S111" s="70"/>
      <c r="T111" s="67">
        <v>6</v>
      </c>
      <c r="U111" s="71">
        <f t="shared" si="44"/>
        <v>6000</v>
      </c>
      <c r="V111" s="72">
        <f t="shared" si="45"/>
        <v>1200</v>
      </c>
      <c r="W111" s="66">
        <v>7200</v>
      </c>
      <c r="X111" s="67"/>
      <c r="Y111" s="62"/>
      <c r="Z111" s="67"/>
      <c r="AA111" s="67"/>
      <c r="AB111" s="67"/>
      <c r="AC111" s="67"/>
      <c r="AD111" s="73">
        <f t="shared" si="42"/>
        <v>1.2</v>
      </c>
      <c r="AE111" s="67">
        <f t="shared" si="43"/>
        <v>7.2</v>
      </c>
      <c r="AF111" s="67">
        <v>0</v>
      </c>
    </row>
    <row r="112" spans="1:32" x14ac:dyDescent="0.25">
      <c r="A112" s="33" t="s">
        <v>25</v>
      </c>
      <c r="B112" s="34" t="s">
        <v>187</v>
      </c>
      <c r="C112" s="35">
        <v>45706</v>
      </c>
      <c r="D112" s="36" t="s">
        <v>188</v>
      </c>
      <c r="E112" s="34" t="s">
        <v>75</v>
      </c>
      <c r="F112" s="37">
        <v>24000</v>
      </c>
      <c r="G112" s="35">
        <v>45734</v>
      </c>
      <c r="H112" s="38" t="s">
        <v>189</v>
      </c>
      <c r="I112" s="34" t="s">
        <v>190</v>
      </c>
      <c r="J112" s="39">
        <v>25000</v>
      </c>
      <c r="K112" s="36">
        <f>T112</f>
        <v>11.605000000000002</v>
      </c>
      <c r="L112" s="40">
        <f t="shared" si="31"/>
        <v>290125.00000000006</v>
      </c>
      <c r="M112" s="41" t="s">
        <v>191</v>
      </c>
      <c r="N112" s="35">
        <v>45721</v>
      </c>
      <c r="O112" s="34" t="s">
        <v>190</v>
      </c>
      <c r="P112" s="42">
        <v>25000</v>
      </c>
      <c r="Q112" s="43">
        <v>1.1000000000000001</v>
      </c>
      <c r="R112" s="44">
        <f>P112*Q112</f>
        <v>27500.000000000004</v>
      </c>
      <c r="S112" s="45">
        <v>10.55</v>
      </c>
      <c r="T112" s="41">
        <f>Q112*S112</f>
        <v>11.605000000000002</v>
      </c>
      <c r="U112" s="46">
        <f>P112*T112</f>
        <v>290125.00000000006</v>
      </c>
      <c r="V112" s="47">
        <f>((0.16065416666)*P112)*S112</f>
        <v>42372.536456574999</v>
      </c>
      <c r="W112" s="40">
        <f>U112+V112</f>
        <v>332497.53645657504</v>
      </c>
      <c r="X112" s="41"/>
      <c r="Y112" s="37"/>
      <c r="Z112" s="41"/>
      <c r="AA112" s="41"/>
      <c r="AB112" s="41"/>
      <c r="AC112" s="41"/>
      <c r="AD112" s="48">
        <f t="shared" si="42"/>
        <v>1.694901458263</v>
      </c>
      <c r="AE112" s="41">
        <f t="shared" si="43"/>
        <v>13.299901458263003</v>
      </c>
      <c r="AF112" s="41">
        <v>0</v>
      </c>
    </row>
    <row r="113" spans="1:32" x14ac:dyDescent="0.25">
      <c r="A113" s="49" t="s">
        <v>31</v>
      </c>
      <c r="B113" s="34" t="s">
        <v>89</v>
      </c>
      <c r="C113" s="35">
        <v>45730</v>
      </c>
      <c r="D113" s="36" t="s">
        <v>192</v>
      </c>
      <c r="E113" s="34" t="s">
        <v>91</v>
      </c>
      <c r="F113" s="37">
        <v>140</v>
      </c>
      <c r="G113" s="35">
        <v>45735</v>
      </c>
      <c r="H113" s="38" t="s">
        <v>193</v>
      </c>
      <c r="I113" s="34" t="s">
        <v>91</v>
      </c>
      <c r="J113" s="39">
        <v>140</v>
      </c>
      <c r="K113" s="36">
        <v>32.5</v>
      </c>
      <c r="L113" s="40">
        <f t="shared" si="31"/>
        <v>4550</v>
      </c>
      <c r="M113" s="41">
        <v>250304</v>
      </c>
      <c r="N113" s="35">
        <v>45747</v>
      </c>
      <c r="O113" s="34"/>
      <c r="P113" s="42">
        <v>140</v>
      </c>
      <c r="Q113" s="43"/>
      <c r="R113" s="44"/>
      <c r="S113" s="45"/>
      <c r="T113" s="41">
        <v>32.5</v>
      </c>
      <c r="U113" s="46">
        <f>+T113*P113</f>
        <v>4550</v>
      </c>
      <c r="V113" s="47"/>
      <c r="W113" s="40"/>
      <c r="X113" s="41"/>
      <c r="Y113" s="37"/>
      <c r="Z113" s="41"/>
      <c r="AA113" s="41"/>
      <c r="AB113" s="41"/>
      <c r="AC113" s="41"/>
      <c r="AD113" s="48"/>
      <c r="AE113" s="41"/>
      <c r="AF113" s="41"/>
    </row>
    <row r="114" spans="1:32" x14ac:dyDescent="0.25">
      <c r="A114" s="49" t="s">
        <v>31</v>
      </c>
      <c r="B114" s="34" t="s">
        <v>78</v>
      </c>
      <c r="C114" s="35">
        <v>45733</v>
      </c>
      <c r="D114" s="36" t="s">
        <v>192</v>
      </c>
      <c r="E114" s="34" t="s">
        <v>138</v>
      </c>
      <c r="F114" s="37">
        <v>4000</v>
      </c>
      <c r="G114" s="35">
        <v>45735</v>
      </c>
      <c r="H114" s="38" t="s">
        <v>194</v>
      </c>
      <c r="I114" s="34" t="s">
        <v>138</v>
      </c>
      <c r="J114" s="39">
        <v>4000</v>
      </c>
      <c r="K114" s="36">
        <v>7.5</v>
      </c>
      <c r="L114" s="40">
        <f t="shared" si="31"/>
        <v>30000</v>
      </c>
      <c r="M114" s="41" t="s">
        <v>195</v>
      </c>
      <c r="N114" s="35">
        <v>45734</v>
      </c>
      <c r="O114" s="34" t="s">
        <v>138</v>
      </c>
      <c r="P114" s="42">
        <v>4000</v>
      </c>
      <c r="Q114" s="43"/>
      <c r="R114" s="44"/>
      <c r="S114" s="45"/>
      <c r="T114" s="41">
        <v>7.5</v>
      </c>
      <c r="U114" s="46">
        <f>P114*T114</f>
        <v>30000</v>
      </c>
      <c r="V114" s="47">
        <v>6000</v>
      </c>
      <c r="W114" s="40">
        <v>12000</v>
      </c>
      <c r="X114" s="41"/>
      <c r="Y114" s="37"/>
      <c r="Z114" s="41"/>
      <c r="AA114" s="41"/>
      <c r="AB114" s="41"/>
      <c r="AC114" s="41"/>
      <c r="AD114" s="90">
        <f>V114/P114</f>
        <v>1.5</v>
      </c>
      <c r="AE114" s="101">
        <f>T114+AD114</f>
        <v>9</v>
      </c>
      <c r="AF114" s="41">
        <v>0</v>
      </c>
    </row>
    <row r="115" spans="1:32" x14ac:dyDescent="0.25">
      <c r="A115" s="49" t="s">
        <v>31</v>
      </c>
      <c r="B115" s="34" t="s">
        <v>101</v>
      </c>
      <c r="C115" s="35">
        <v>45726</v>
      </c>
      <c r="D115" s="36" t="s">
        <v>181</v>
      </c>
      <c r="E115" s="34" t="s">
        <v>105</v>
      </c>
      <c r="F115" s="37">
        <v>2000</v>
      </c>
      <c r="G115" s="35">
        <v>45735</v>
      </c>
      <c r="H115" s="38" t="s">
        <v>196</v>
      </c>
      <c r="I115" s="34" t="s">
        <v>105</v>
      </c>
      <c r="J115" s="39">
        <v>2000</v>
      </c>
      <c r="K115" s="36">
        <v>13.5</v>
      </c>
      <c r="L115" s="40">
        <f t="shared" si="31"/>
        <v>27000</v>
      </c>
      <c r="M115" s="82" t="s">
        <v>117</v>
      </c>
      <c r="N115" s="77">
        <v>45713</v>
      </c>
      <c r="O115" s="76" t="s">
        <v>105</v>
      </c>
      <c r="P115" s="42">
        <v>2000</v>
      </c>
      <c r="Q115" s="43"/>
      <c r="R115" s="44"/>
      <c r="S115" s="45"/>
      <c r="T115" s="41">
        <v>13.5</v>
      </c>
      <c r="U115" s="46">
        <f>+T115*P115</f>
        <v>27000</v>
      </c>
      <c r="V115" s="47"/>
      <c r="W115" s="40"/>
      <c r="X115" s="41"/>
      <c r="Y115" s="37"/>
      <c r="Z115" s="41"/>
      <c r="AA115" s="41"/>
      <c r="AB115" s="41"/>
      <c r="AC115" s="41"/>
      <c r="AD115" s="48">
        <f t="shared" ref="AD115:AD165" si="46">V115/P115</f>
        <v>0</v>
      </c>
      <c r="AE115" s="41">
        <f t="shared" ref="AE115:AE139" si="47">T115+AD115</f>
        <v>13.5</v>
      </c>
      <c r="AF115" s="41">
        <v>0</v>
      </c>
    </row>
    <row r="116" spans="1:32" x14ac:dyDescent="0.25">
      <c r="A116" s="49" t="s">
        <v>31</v>
      </c>
      <c r="B116" s="34" t="s">
        <v>74</v>
      </c>
      <c r="C116" s="35">
        <v>45735</v>
      </c>
      <c r="D116" s="36" t="s">
        <v>197</v>
      </c>
      <c r="E116" s="34" t="s">
        <v>125</v>
      </c>
      <c r="F116" s="37">
        <v>6020</v>
      </c>
      <c r="G116" s="35">
        <v>45735</v>
      </c>
      <c r="H116" s="38" t="s">
        <v>198</v>
      </c>
      <c r="I116" s="34" t="s">
        <v>125</v>
      </c>
      <c r="J116" s="39">
        <v>6020</v>
      </c>
      <c r="K116" s="36">
        <v>10.95</v>
      </c>
      <c r="L116" s="40">
        <f t="shared" si="31"/>
        <v>65919</v>
      </c>
      <c r="M116" s="41">
        <v>145045</v>
      </c>
      <c r="N116" s="35">
        <v>45734</v>
      </c>
      <c r="O116" s="34" t="s">
        <v>199</v>
      </c>
      <c r="P116" s="42">
        <v>6020</v>
      </c>
      <c r="Q116" s="43"/>
      <c r="R116" s="44"/>
      <c r="S116" s="45"/>
      <c r="T116" s="41">
        <v>10.95</v>
      </c>
      <c r="U116" s="46">
        <f>+T116*P116</f>
        <v>65919</v>
      </c>
      <c r="V116" s="47">
        <v>13183.8</v>
      </c>
      <c r="W116" s="40">
        <f>+V116+U116</f>
        <v>79102.8</v>
      </c>
      <c r="X116" s="41"/>
      <c r="Y116" s="37"/>
      <c r="Z116" s="41"/>
      <c r="AA116" s="41"/>
      <c r="AB116" s="41"/>
      <c r="AC116" s="41"/>
      <c r="AD116" s="48">
        <f t="shared" si="46"/>
        <v>2.19</v>
      </c>
      <c r="AE116" s="41">
        <f t="shared" si="47"/>
        <v>13.139999999999999</v>
      </c>
      <c r="AF116" s="41"/>
    </row>
    <row r="117" spans="1:32" x14ac:dyDescent="0.25">
      <c r="A117" s="49" t="s">
        <v>31</v>
      </c>
      <c r="B117" s="34" t="s">
        <v>70</v>
      </c>
      <c r="C117" s="35">
        <v>45742</v>
      </c>
      <c r="D117" s="36" t="s">
        <v>200</v>
      </c>
      <c r="E117" s="34" t="s">
        <v>72</v>
      </c>
      <c r="F117" s="37">
        <v>18020</v>
      </c>
      <c r="G117" s="35">
        <v>45744</v>
      </c>
      <c r="H117" s="38" t="s">
        <v>201</v>
      </c>
      <c r="I117" s="34" t="s">
        <v>72</v>
      </c>
      <c r="J117" s="39">
        <v>18020</v>
      </c>
      <c r="K117" s="36">
        <v>0.4</v>
      </c>
      <c r="L117" s="40">
        <f>+K117*J117</f>
        <v>7208</v>
      </c>
      <c r="M117" s="41">
        <v>538</v>
      </c>
      <c r="N117" s="35">
        <v>45750</v>
      </c>
      <c r="O117" s="34" t="s">
        <v>72</v>
      </c>
      <c r="P117" s="42">
        <v>18020</v>
      </c>
      <c r="Q117" s="43"/>
      <c r="R117" s="44"/>
      <c r="S117" s="45"/>
      <c r="T117" s="41">
        <v>0.4</v>
      </c>
      <c r="U117" s="46">
        <f>T117*P117</f>
        <v>7208</v>
      </c>
      <c r="V117" s="47">
        <v>300</v>
      </c>
      <c r="W117" s="40">
        <f>V117+U117</f>
        <v>7508</v>
      </c>
      <c r="X117" s="41"/>
      <c r="Y117" s="37"/>
      <c r="Z117" s="41"/>
      <c r="AA117" s="41"/>
      <c r="AB117" s="41"/>
      <c r="AC117" s="41"/>
      <c r="AD117" s="90">
        <f t="shared" si="46"/>
        <v>1.6648168701442843E-2</v>
      </c>
      <c r="AE117" s="101">
        <f t="shared" si="47"/>
        <v>0.41664816870144289</v>
      </c>
      <c r="AF117" s="41">
        <v>0</v>
      </c>
    </row>
    <row r="118" spans="1:32" x14ac:dyDescent="0.25">
      <c r="A118" s="33" t="s">
        <v>25</v>
      </c>
      <c r="B118" s="76" t="s">
        <v>26</v>
      </c>
      <c r="C118" s="77">
        <v>45734</v>
      </c>
      <c r="D118" s="50" t="s">
        <v>162</v>
      </c>
      <c r="E118" s="76" t="s">
        <v>131</v>
      </c>
      <c r="F118" s="78">
        <v>13000</v>
      </c>
      <c r="G118" s="77">
        <v>45761</v>
      </c>
      <c r="H118" s="79" t="s">
        <v>202</v>
      </c>
      <c r="I118" s="76" t="s">
        <v>131</v>
      </c>
      <c r="J118" s="80">
        <v>13000</v>
      </c>
      <c r="K118" s="50">
        <f>T118</f>
        <v>7.83</v>
      </c>
      <c r="L118" s="81">
        <f t="shared" ref="L118:L139" si="48">K118*J118</f>
        <v>101790</v>
      </c>
      <c r="M118" s="82" t="s">
        <v>203</v>
      </c>
      <c r="N118" s="77">
        <v>45734</v>
      </c>
      <c r="O118" s="76" t="s">
        <v>131</v>
      </c>
      <c r="P118" s="83">
        <v>13000</v>
      </c>
      <c r="Q118" s="84">
        <v>0.75</v>
      </c>
      <c r="R118" s="85">
        <f>P118*Q118</f>
        <v>9750</v>
      </c>
      <c r="S118" s="86">
        <v>10.44</v>
      </c>
      <c r="T118" s="82">
        <f>Q118*S118</f>
        <v>7.83</v>
      </c>
      <c r="U118" s="87">
        <f t="shared" ref="U118:U125" si="49">P118*T118</f>
        <v>101790</v>
      </c>
      <c r="V118" s="88">
        <f>((0.11351351351)*P118)*S118</f>
        <v>15406.054053577198</v>
      </c>
      <c r="W118" s="81">
        <f>U118+V118</f>
        <v>117196.0540535772</v>
      </c>
      <c r="X118" s="82"/>
      <c r="Y118" s="78"/>
      <c r="Z118" s="82"/>
      <c r="AA118" s="82"/>
      <c r="AB118" s="82"/>
      <c r="AC118" s="82"/>
      <c r="AD118" s="89">
        <f t="shared" si="46"/>
        <v>1.1850810810443999</v>
      </c>
      <c r="AE118" s="82">
        <f t="shared" si="47"/>
        <v>9.0150810810444</v>
      </c>
      <c r="AF118" s="82">
        <v>0</v>
      </c>
    </row>
    <row r="119" spans="1:32" x14ac:dyDescent="0.25">
      <c r="A119" s="33" t="s">
        <v>25</v>
      </c>
      <c r="B119" s="2" t="s">
        <v>26</v>
      </c>
      <c r="C119" s="3">
        <v>45734</v>
      </c>
      <c r="D119" s="6" t="s">
        <v>162</v>
      </c>
      <c r="E119" s="2" t="s">
        <v>134</v>
      </c>
      <c r="F119" s="51">
        <v>2200</v>
      </c>
      <c r="G119" s="3">
        <v>45761</v>
      </c>
      <c r="H119" s="4" t="s">
        <v>202</v>
      </c>
      <c r="I119" s="2" t="s">
        <v>134</v>
      </c>
      <c r="J119" s="52">
        <v>2200</v>
      </c>
      <c r="K119" s="6">
        <f>T119</f>
        <v>20.88</v>
      </c>
      <c r="L119" s="53">
        <f t="shared" si="48"/>
        <v>45936</v>
      </c>
      <c r="M119" s="1" t="s">
        <v>203</v>
      </c>
      <c r="N119" s="3">
        <v>45734</v>
      </c>
      <c r="O119" s="2" t="s">
        <v>134</v>
      </c>
      <c r="P119" s="9">
        <v>2200</v>
      </c>
      <c r="Q119" s="54">
        <v>2</v>
      </c>
      <c r="R119" s="55">
        <f>P119*Q119</f>
        <v>4400</v>
      </c>
      <c r="S119" s="56">
        <v>10.44</v>
      </c>
      <c r="T119" s="1">
        <f>Q119*S119</f>
        <v>20.88</v>
      </c>
      <c r="U119" s="57">
        <f t="shared" si="49"/>
        <v>45936</v>
      </c>
      <c r="V119" s="58">
        <f>((0.11351351351)*P119)*S119</f>
        <v>2607.17837829768</v>
      </c>
      <c r="W119" s="53">
        <f>U119+V119</f>
        <v>48543.178378297678</v>
      </c>
      <c r="AC119" s="1"/>
      <c r="AD119" s="74">
        <f t="shared" si="46"/>
        <v>1.1850810810443999</v>
      </c>
      <c r="AE119" s="1">
        <f t="shared" si="47"/>
        <v>22.065081081044397</v>
      </c>
      <c r="AF119" s="1">
        <v>0</v>
      </c>
    </row>
    <row r="120" spans="1:32" x14ac:dyDescent="0.25">
      <c r="A120" s="33" t="s">
        <v>25</v>
      </c>
      <c r="B120" s="2" t="s">
        <v>26</v>
      </c>
      <c r="C120" s="3">
        <v>45734</v>
      </c>
      <c r="D120" s="6" t="s">
        <v>162</v>
      </c>
      <c r="E120" s="2" t="s">
        <v>204</v>
      </c>
      <c r="F120" s="51">
        <v>1100</v>
      </c>
      <c r="G120" s="3">
        <v>45761</v>
      </c>
      <c r="H120" s="4" t="s">
        <v>202</v>
      </c>
      <c r="I120" s="2" t="s">
        <v>204</v>
      </c>
      <c r="J120" s="52">
        <v>1100</v>
      </c>
      <c r="K120" s="6">
        <f>T120</f>
        <v>89.262</v>
      </c>
      <c r="L120" s="53">
        <f t="shared" si="48"/>
        <v>98188.2</v>
      </c>
      <c r="M120" s="1" t="s">
        <v>203</v>
      </c>
      <c r="N120" s="3">
        <v>45734</v>
      </c>
      <c r="O120" s="2" t="s">
        <v>204</v>
      </c>
      <c r="P120" s="9">
        <v>1100</v>
      </c>
      <c r="Q120" s="54">
        <v>8.5500000000000007</v>
      </c>
      <c r="R120" s="55">
        <f>P120*Q120</f>
        <v>9405</v>
      </c>
      <c r="S120" s="56">
        <v>10.44</v>
      </c>
      <c r="T120" s="1">
        <f>Q120*S120</f>
        <v>89.262</v>
      </c>
      <c r="U120" s="57">
        <f t="shared" si="49"/>
        <v>98188.2</v>
      </c>
      <c r="V120" s="58">
        <f>((0.11351351351)*P120)*S120</f>
        <v>1303.58918914884</v>
      </c>
      <c r="W120" s="53">
        <f>U120+V120</f>
        <v>99491.78918914884</v>
      </c>
      <c r="AC120" s="1"/>
      <c r="AD120" s="59">
        <f t="shared" si="46"/>
        <v>1.1850810810443999</v>
      </c>
      <c r="AE120" s="1">
        <f t="shared" si="47"/>
        <v>90.447081081044402</v>
      </c>
      <c r="AF120" s="1">
        <v>0</v>
      </c>
    </row>
    <row r="121" spans="1:32" x14ac:dyDescent="0.25">
      <c r="A121" s="33" t="s">
        <v>25</v>
      </c>
      <c r="B121" s="60" t="s">
        <v>26</v>
      </c>
      <c r="C121" s="61">
        <v>45734</v>
      </c>
      <c r="D121" s="65" t="s">
        <v>162</v>
      </c>
      <c r="E121" s="60" t="s">
        <v>42</v>
      </c>
      <c r="F121" s="62">
        <v>2200</v>
      </c>
      <c r="G121" s="61">
        <v>45761</v>
      </c>
      <c r="H121" s="63" t="s">
        <v>202</v>
      </c>
      <c r="I121" s="60" t="s">
        <v>42</v>
      </c>
      <c r="J121" s="64">
        <v>2200</v>
      </c>
      <c r="K121" s="65">
        <f>T121</f>
        <v>6.4727999999999994</v>
      </c>
      <c r="L121" s="66">
        <f t="shared" si="48"/>
        <v>14240.159999999998</v>
      </c>
      <c r="M121" s="67" t="s">
        <v>203</v>
      </c>
      <c r="N121" s="61">
        <v>45734</v>
      </c>
      <c r="O121" s="60" t="s">
        <v>42</v>
      </c>
      <c r="P121" s="31">
        <v>2200</v>
      </c>
      <c r="Q121" s="68">
        <v>0.62</v>
      </c>
      <c r="R121" s="69">
        <f>P121*Q121</f>
        <v>1364</v>
      </c>
      <c r="S121" s="70">
        <v>10.44</v>
      </c>
      <c r="T121" s="67">
        <f>Q121*S121</f>
        <v>6.4727999999999994</v>
      </c>
      <c r="U121" s="71">
        <f t="shared" si="49"/>
        <v>14240.159999999998</v>
      </c>
      <c r="V121" s="72">
        <f>((0.11351351351)*P121)*S121</f>
        <v>2607.17837829768</v>
      </c>
      <c r="W121" s="66">
        <f>U121+V121</f>
        <v>16847.338378297678</v>
      </c>
      <c r="X121" s="67"/>
      <c r="Y121" s="62"/>
      <c r="Z121" s="67"/>
      <c r="AA121" s="67"/>
      <c r="AB121" s="67"/>
      <c r="AC121" s="67"/>
      <c r="AD121" s="73">
        <f t="shared" si="46"/>
        <v>1.1850810810443999</v>
      </c>
      <c r="AE121" s="67">
        <f t="shared" si="47"/>
        <v>7.6578810810443994</v>
      </c>
      <c r="AF121" s="67">
        <v>0</v>
      </c>
    </row>
    <row r="122" spans="1:32" x14ac:dyDescent="0.25">
      <c r="A122" s="49" t="s">
        <v>31</v>
      </c>
      <c r="B122" s="2" t="s">
        <v>78</v>
      </c>
      <c r="C122" s="3">
        <v>45762</v>
      </c>
      <c r="D122" s="6" t="s">
        <v>205</v>
      </c>
      <c r="E122" s="2" t="s">
        <v>80</v>
      </c>
      <c r="F122" s="51">
        <v>3600</v>
      </c>
      <c r="G122" s="3">
        <v>45769</v>
      </c>
      <c r="H122" s="4" t="s">
        <v>206</v>
      </c>
      <c r="I122" s="2" t="s">
        <v>80</v>
      </c>
      <c r="J122" s="52">
        <v>3600</v>
      </c>
      <c r="K122" s="6">
        <v>4</v>
      </c>
      <c r="L122" s="53">
        <f t="shared" si="48"/>
        <v>14400</v>
      </c>
      <c r="M122" s="1" t="s">
        <v>207</v>
      </c>
      <c r="N122" s="3">
        <v>45769</v>
      </c>
      <c r="O122" s="2" t="s">
        <v>80</v>
      </c>
      <c r="P122" s="9">
        <v>3600</v>
      </c>
      <c r="Q122" s="54"/>
      <c r="R122" s="55"/>
      <c r="S122" s="56"/>
      <c r="T122" s="1">
        <v>4</v>
      </c>
      <c r="U122" s="57">
        <f t="shared" si="49"/>
        <v>14400</v>
      </c>
      <c r="V122" s="58">
        <f>W122-U122</f>
        <v>2880</v>
      </c>
      <c r="W122" s="53">
        <f>U122*1.2</f>
        <v>17280</v>
      </c>
      <c r="AC122" s="1"/>
      <c r="AD122" s="74">
        <f t="shared" si="46"/>
        <v>0.8</v>
      </c>
      <c r="AE122" s="98">
        <f t="shared" si="47"/>
        <v>4.8</v>
      </c>
      <c r="AF122" s="1">
        <v>0</v>
      </c>
    </row>
    <row r="123" spans="1:32" x14ac:dyDescent="0.25">
      <c r="A123" s="49" t="s">
        <v>31</v>
      </c>
      <c r="B123" s="2" t="s">
        <v>78</v>
      </c>
      <c r="C123" s="3">
        <v>45762</v>
      </c>
      <c r="D123" s="6" t="s">
        <v>208</v>
      </c>
      <c r="E123" s="2" t="s">
        <v>83</v>
      </c>
      <c r="F123" s="51">
        <v>1000</v>
      </c>
      <c r="G123" s="3">
        <v>45769</v>
      </c>
      <c r="H123" s="4" t="s">
        <v>206</v>
      </c>
      <c r="I123" s="2" t="s">
        <v>83</v>
      </c>
      <c r="J123" s="52">
        <v>1000</v>
      </c>
      <c r="K123" s="6">
        <v>5</v>
      </c>
      <c r="L123" s="53">
        <f t="shared" si="48"/>
        <v>5000</v>
      </c>
      <c r="M123" s="1" t="s">
        <v>207</v>
      </c>
      <c r="N123" s="3">
        <v>45769</v>
      </c>
      <c r="O123" s="2" t="s">
        <v>83</v>
      </c>
      <c r="P123" s="9">
        <v>1000</v>
      </c>
      <c r="Q123" s="54"/>
      <c r="R123" s="55"/>
      <c r="S123" s="56"/>
      <c r="T123" s="1">
        <v>5</v>
      </c>
      <c r="U123" s="57">
        <f t="shared" si="49"/>
        <v>5000</v>
      </c>
      <c r="V123" s="58">
        <f>W123-U123</f>
        <v>1000</v>
      </c>
      <c r="W123" s="53">
        <f>U123*1.2</f>
        <v>6000</v>
      </c>
      <c r="AC123" s="1"/>
      <c r="AD123" s="74">
        <f t="shared" si="46"/>
        <v>1</v>
      </c>
      <c r="AE123" s="1">
        <f t="shared" si="47"/>
        <v>6</v>
      </c>
      <c r="AF123" s="1">
        <v>0</v>
      </c>
    </row>
    <row r="124" spans="1:32" x14ac:dyDescent="0.25">
      <c r="A124" s="49" t="s">
        <v>31</v>
      </c>
      <c r="B124" s="2" t="s">
        <v>78</v>
      </c>
      <c r="C124" s="3">
        <v>45762</v>
      </c>
      <c r="D124" s="6" t="s">
        <v>208</v>
      </c>
      <c r="E124" s="2" t="s">
        <v>85</v>
      </c>
      <c r="F124" s="51">
        <v>1000</v>
      </c>
      <c r="G124" s="3">
        <v>45769</v>
      </c>
      <c r="H124" s="4" t="s">
        <v>206</v>
      </c>
      <c r="I124" s="2" t="s">
        <v>85</v>
      </c>
      <c r="J124" s="52">
        <v>1000</v>
      </c>
      <c r="K124" s="6">
        <v>15</v>
      </c>
      <c r="L124" s="53">
        <f t="shared" si="48"/>
        <v>15000</v>
      </c>
      <c r="M124" s="1" t="s">
        <v>207</v>
      </c>
      <c r="N124" s="3">
        <v>45799</v>
      </c>
      <c r="O124" s="2" t="s">
        <v>85</v>
      </c>
      <c r="P124" s="9">
        <v>1000</v>
      </c>
      <c r="Q124" s="54"/>
      <c r="R124" s="55"/>
      <c r="S124" s="56"/>
      <c r="T124" s="1">
        <v>15</v>
      </c>
      <c r="U124" s="57">
        <f t="shared" si="49"/>
        <v>15000</v>
      </c>
      <c r="V124" s="58">
        <f>W124-U124</f>
        <v>3000</v>
      </c>
      <c r="W124" s="53">
        <f>U124*1.2</f>
        <v>18000</v>
      </c>
      <c r="AC124" s="1"/>
      <c r="AD124" s="74">
        <f t="shared" si="46"/>
        <v>3</v>
      </c>
      <c r="AE124" s="98">
        <f t="shared" si="47"/>
        <v>18</v>
      </c>
      <c r="AF124" s="1">
        <v>0</v>
      </c>
    </row>
    <row r="125" spans="1:32" x14ac:dyDescent="0.25">
      <c r="A125" s="49" t="s">
        <v>31</v>
      </c>
      <c r="B125" s="60" t="s">
        <v>78</v>
      </c>
      <c r="C125" s="61">
        <v>45762</v>
      </c>
      <c r="D125" s="65" t="s">
        <v>208</v>
      </c>
      <c r="E125" s="60" t="s">
        <v>86</v>
      </c>
      <c r="F125" s="62">
        <v>600</v>
      </c>
      <c r="G125" s="61">
        <v>45769</v>
      </c>
      <c r="H125" s="63" t="s">
        <v>206</v>
      </c>
      <c r="I125" s="60" t="s">
        <v>86</v>
      </c>
      <c r="J125" s="64">
        <v>600</v>
      </c>
      <c r="K125" s="65">
        <v>9</v>
      </c>
      <c r="L125" s="66">
        <f t="shared" si="48"/>
        <v>5400</v>
      </c>
      <c r="M125" s="67" t="s">
        <v>207</v>
      </c>
      <c r="N125" s="61">
        <v>45799</v>
      </c>
      <c r="O125" s="60" t="s">
        <v>86</v>
      </c>
      <c r="P125" s="31">
        <v>600</v>
      </c>
      <c r="Q125" s="68"/>
      <c r="R125" s="69"/>
      <c r="S125" s="70"/>
      <c r="T125" s="67">
        <v>9</v>
      </c>
      <c r="U125" s="71">
        <f t="shared" si="49"/>
        <v>5400</v>
      </c>
      <c r="V125" s="72">
        <f>W125-U125</f>
        <v>1080</v>
      </c>
      <c r="W125" s="66">
        <f>U125*1.2</f>
        <v>6480</v>
      </c>
      <c r="AC125" s="1"/>
      <c r="AD125" s="73">
        <f t="shared" si="46"/>
        <v>1.8</v>
      </c>
      <c r="AE125" s="67">
        <f t="shared" si="47"/>
        <v>10.8</v>
      </c>
      <c r="AF125" s="67">
        <v>0</v>
      </c>
    </row>
    <row r="126" spans="1:32" x14ac:dyDescent="0.25">
      <c r="A126" s="49" t="s">
        <v>31</v>
      </c>
      <c r="B126" s="34" t="s">
        <v>93</v>
      </c>
      <c r="C126" s="35">
        <v>45762</v>
      </c>
      <c r="D126" s="36" t="s">
        <v>209</v>
      </c>
      <c r="E126" s="34" t="s">
        <v>98</v>
      </c>
      <c r="F126" s="37">
        <v>16000</v>
      </c>
      <c r="G126" s="35">
        <v>45770</v>
      </c>
      <c r="H126" s="38" t="s">
        <v>210</v>
      </c>
      <c r="I126" s="34" t="s">
        <v>98</v>
      </c>
      <c r="J126" s="39">
        <v>16000</v>
      </c>
      <c r="K126" s="36">
        <v>1.4650000000000001</v>
      </c>
      <c r="L126" s="40">
        <f t="shared" si="48"/>
        <v>23440</v>
      </c>
      <c r="M126" s="41" t="s">
        <v>211</v>
      </c>
      <c r="N126" s="35">
        <v>45896</v>
      </c>
      <c r="O126" s="34" t="s">
        <v>98</v>
      </c>
      <c r="P126" s="42">
        <v>16000</v>
      </c>
      <c r="Q126" s="43"/>
      <c r="R126" s="44"/>
      <c r="S126" s="45"/>
      <c r="T126" s="41">
        <v>1.4650000000000001</v>
      </c>
      <c r="U126" s="46">
        <v>23440</v>
      </c>
      <c r="V126" s="47">
        <v>4688</v>
      </c>
      <c r="W126" s="40">
        <f>+V126+U126</f>
        <v>28128</v>
      </c>
      <c r="AC126" s="1"/>
      <c r="AD126" s="48">
        <f t="shared" si="46"/>
        <v>0.29299999999999998</v>
      </c>
      <c r="AE126" s="41">
        <f t="shared" si="47"/>
        <v>1.758</v>
      </c>
      <c r="AF126" s="41">
        <v>0</v>
      </c>
    </row>
    <row r="127" spans="1:32" x14ac:dyDescent="0.25">
      <c r="A127" s="33" t="s">
        <v>25</v>
      </c>
      <c r="B127" s="2" t="s">
        <v>26</v>
      </c>
      <c r="C127" s="3">
        <v>45726</v>
      </c>
      <c r="D127" s="6" t="s">
        <v>212</v>
      </c>
      <c r="E127" s="2" t="s">
        <v>48</v>
      </c>
      <c r="F127" s="51">
        <v>2000</v>
      </c>
      <c r="G127" s="3">
        <v>45771</v>
      </c>
      <c r="H127" s="4" t="s">
        <v>213</v>
      </c>
      <c r="I127" s="2" t="s">
        <v>48</v>
      </c>
      <c r="J127" s="52">
        <v>2000</v>
      </c>
      <c r="K127" s="6">
        <f t="shared" ref="K127:K139" si="50">T127</f>
        <v>14.824799999999998</v>
      </c>
      <c r="L127" s="53">
        <f t="shared" si="48"/>
        <v>29649.599999999995</v>
      </c>
      <c r="M127" s="1" t="s">
        <v>214</v>
      </c>
      <c r="N127" s="3">
        <v>45756</v>
      </c>
      <c r="O127" s="2" t="s">
        <v>48</v>
      </c>
      <c r="P127" s="9">
        <v>2000</v>
      </c>
      <c r="Q127" s="54">
        <v>1.42</v>
      </c>
      <c r="R127" s="55">
        <f t="shared" ref="R127:R139" si="51">P127*Q127</f>
        <v>2840</v>
      </c>
      <c r="S127" s="56">
        <v>10.44</v>
      </c>
      <c r="T127" s="1">
        <f t="shared" ref="T127:T139" si="52">Q127*S127</f>
        <v>14.824799999999998</v>
      </c>
      <c r="U127" s="57">
        <f t="shared" ref="U127:U139" si="53">P127*T127</f>
        <v>29649.599999999995</v>
      </c>
      <c r="V127" s="58">
        <f t="shared" ref="V127:V150" si="54">((0.14419329696)*P127)*S127</f>
        <v>3010.7560405248</v>
      </c>
      <c r="W127" s="53">
        <f t="shared" ref="W127:W139" si="55">U127+V127</f>
        <v>32660.356040524795</v>
      </c>
      <c r="AC127" s="1"/>
      <c r="AD127" s="59">
        <f t="shared" si="46"/>
        <v>1.5053780202624001</v>
      </c>
      <c r="AE127" s="1">
        <f t="shared" si="47"/>
        <v>16.330178020262398</v>
      </c>
      <c r="AF127" s="1">
        <v>0</v>
      </c>
    </row>
    <row r="128" spans="1:32" x14ac:dyDescent="0.25">
      <c r="A128" s="33" t="s">
        <v>25</v>
      </c>
      <c r="B128" s="2" t="s">
        <v>26</v>
      </c>
      <c r="C128" s="3">
        <v>45726</v>
      </c>
      <c r="D128" s="6" t="s">
        <v>212</v>
      </c>
      <c r="E128" s="2" t="s">
        <v>215</v>
      </c>
      <c r="F128" s="51">
        <v>1000</v>
      </c>
      <c r="G128" s="3">
        <v>45771</v>
      </c>
      <c r="H128" s="4" t="s">
        <v>213</v>
      </c>
      <c r="I128" s="2" t="s">
        <v>111</v>
      </c>
      <c r="J128" s="52">
        <v>1000</v>
      </c>
      <c r="K128" s="6">
        <f t="shared" si="50"/>
        <v>15.66</v>
      </c>
      <c r="L128" s="53">
        <f t="shared" si="48"/>
        <v>15660</v>
      </c>
      <c r="M128" s="1" t="s">
        <v>214</v>
      </c>
      <c r="N128" s="3">
        <v>45756</v>
      </c>
      <c r="O128" s="2" t="s">
        <v>111</v>
      </c>
      <c r="P128" s="9">
        <v>1000</v>
      </c>
      <c r="Q128" s="54">
        <v>1.5</v>
      </c>
      <c r="R128" s="55">
        <f t="shared" si="51"/>
        <v>1500</v>
      </c>
      <c r="S128" s="56">
        <v>10.44</v>
      </c>
      <c r="T128" s="1">
        <f t="shared" si="52"/>
        <v>15.66</v>
      </c>
      <c r="U128" s="57">
        <f t="shared" si="53"/>
        <v>15660</v>
      </c>
      <c r="V128" s="58">
        <f t="shared" si="54"/>
        <v>1505.3780202624</v>
      </c>
      <c r="W128" s="53">
        <f t="shared" si="55"/>
        <v>17165.3780202624</v>
      </c>
      <c r="AC128" s="1"/>
      <c r="AD128" s="59">
        <f t="shared" si="46"/>
        <v>1.5053780202624001</v>
      </c>
      <c r="AE128" s="1">
        <f t="shared" si="47"/>
        <v>17.165378020262402</v>
      </c>
      <c r="AF128" s="1">
        <v>0</v>
      </c>
    </row>
    <row r="129" spans="1:32" x14ac:dyDescent="0.25">
      <c r="A129" s="33" t="s">
        <v>25</v>
      </c>
      <c r="B129" s="2" t="s">
        <v>26</v>
      </c>
      <c r="C129" s="3">
        <v>45726</v>
      </c>
      <c r="D129" s="6" t="s">
        <v>212</v>
      </c>
      <c r="E129" s="2" t="s">
        <v>110</v>
      </c>
      <c r="F129" s="51">
        <v>435</v>
      </c>
      <c r="G129" s="3">
        <v>45771</v>
      </c>
      <c r="H129" s="4" t="s">
        <v>213</v>
      </c>
      <c r="I129" s="2" t="s">
        <v>110</v>
      </c>
      <c r="J129" s="52">
        <v>435</v>
      </c>
      <c r="K129" s="6">
        <f t="shared" si="50"/>
        <v>22.1328</v>
      </c>
      <c r="L129" s="53">
        <f t="shared" si="48"/>
        <v>9627.768</v>
      </c>
      <c r="M129" s="1" t="s">
        <v>214</v>
      </c>
      <c r="N129" s="3">
        <v>45756</v>
      </c>
      <c r="O129" s="2" t="s">
        <v>110</v>
      </c>
      <c r="P129" s="9">
        <v>435</v>
      </c>
      <c r="Q129" s="54">
        <v>2.12</v>
      </c>
      <c r="R129" s="55">
        <f t="shared" si="51"/>
        <v>922.2</v>
      </c>
      <c r="S129" s="56">
        <v>10.44</v>
      </c>
      <c r="T129" s="1">
        <f t="shared" si="52"/>
        <v>22.1328</v>
      </c>
      <c r="U129" s="57">
        <f t="shared" si="53"/>
        <v>9627.768</v>
      </c>
      <c r="V129" s="58">
        <f t="shared" si="54"/>
        <v>654.83943881414393</v>
      </c>
      <c r="W129" s="53">
        <f t="shared" si="55"/>
        <v>10282.607438814144</v>
      </c>
      <c r="AC129" s="1"/>
      <c r="AD129" s="59">
        <f t="shared" si="46"/>
        <v>1.5053780202623999</v>
      </c>
      <c r="AE129" s="1">
        <f t="shared" si="47"/>
        <v>23.638178020262398</v>
      </c>
      <c r="AF129" s="1">
        <v>0</v>
      </c>
    </row>
    <row r="130" spans="1:32" x14ac:dyDescent="0.25">
      <c r="A130" s="33" t="s">
        <v>25</v>
      </c>
      <c r="B130" s="2" t="s">
        <v>26</v>
      </c>
      <c r="C130" s="3">
        <v>45726</v>
      </c>
      <c r="D130" s="6" t="s">
        <v>212</v>
      </c>
      <c r="E130" s="2" t="s">
        <v>54</v>
      </c>
      <c r="F130" s="51">
        <v>4000</v>
      </c>
      <c r="G130" s="3" t="s">
        <v>216</v>
      </c>
      <c r="H130" s="4" t="s">
        <v>213</v>
      </c>
      <c r="I130" s="2" t="s">
        <v>54</v>
      </c>
      <c r="J130" s="52">
        <v>4000</v>
      </c>
      <c r="K130" s="6">
        <f t="shared" si="50"/>
        <v>22.3416</v>
      </c>
      <c r="L130" s="53">
        <f t="shared" si="48"/>
        <v>89366.399999999994</v>
      </c>
      <c r="M130" s="1" t="s">
        <v>214</v>
      </c>
      <c r="N130" s="3">
        <v>45756</v>
      </c>
      <c r="O130" s="2" t="s">
        <v>54</v>
      </c>
      <c r="P130" s="9">
        <v>4000</v>
      </c>
      <c r="Q130" s="54">
        <v>2.14</v>
      </c>
      <c r="R130" s="55">
        <f t="shared" si="51"/>
        <v>8560</v>
      </c>
      <c r="S130" s="56">
        <v>10.44</v>
      </c>
      <c r="T130" s="1">
        <f t="shared" si="52"/>
        <v>22.3416</v>
      </c>
      <c r="U130" s="57">
        <f t="shared" si="53"/>
        <v>89366.399999999994</v>
      </c>
      <c r="V130" s="58">
        <f t="shared" si="54"/>
        <v>6021.5120810496001</v>
      </c>
      <c r="W130" s="53">
        <f t="shared" si="55"/>
        <v>95387.912081049595</v>
      </c>
      <c r="AC130" s="1"/>
      <c r="AD130" s="59">
        <f t="shared" si="46"/>
        <v>1.5053780202624001</v>
      </c>
      <c r="AE130" s="1">
        <f t="shared" si="47"/>
        <v>23.846978020262398</v>
      </c>
      <c r="AF130" s="1">
        <v>0</v>
      </c>
    </row>
    <row r="131" spans="1:32" x14ac:dyDescent="0.25">
      <c r="A131" s="33" t="s">
        <v>25</v>
      </c>
      <c r="B131" s="2" t="s">
        <v>26</v>
      </c>
      <c r="C131" s="3">
        <v>45726</v>
      </c>
      <c r="D131" s="6" t="s">
        <v>212</v>
      </c>
      <c r="E131" s="2" t="s">
        <v>217</v>
      </c>
      <c r="F131" s="51">
        <v>4000</v>
      </c>
      <c r="G131" s="3">
        <v>45771</v>
      </c>
      <c r="H131" s="4" t="s">
        <v>213</v>
      </c>
      <c r="I131" s="2" t="s">
        <v>217</v>
      </c>
      <c r="J131" s="52">
        <v>4000</v>
      </c>
      <c r="K131" s="6">
        <f t="shared" si="50"/>
        <v>11.484</v>
      </c>
      <c r="L131" s="53">
        <f t="shared" si="48"/>
        <v>45936</v>
      </c>
      <c r="M131" s="1" t="s">
        <v>214</v>
      </c>
      <c r="N131" s="3">
        <v>45756</v>
      </c>
      <c r="O131" s="2" t="s">
        <v>217</v>
      </c>
      <c r="P131" s="9">
        <v>4000</v>
      </c>
      <c r="Q131" s="54">
        <v>1.1000000000000001</v>
      </c>
      <c r="R131" s="55">
        <f t="shared" si="51"/>
        <v>4400</v>
      </c>
      <c r="S131" s="56">
        <v>10.44</v>
      </c>
      <c r="T131" s="1">
        <f t="shared" si="52"/>
        <v>11.484</v>
      </c>
      <c r="U131" s="57">
        <f t="shared" si="53"/>
        <v>45936</v>
      </c>
      <c r="V131" s="58">
        <f t="shared" si="54"/>
        <v>6021.5120810496001</v>
      </c>
      <c r="W131" s="53">
        <f t="shared" si="55"/>
        <v>51957.512081049601</v>
      </c>
      <c r="AC131" s="1"/>
      <c r="AD131" s="59">
        <f t="shared" si="46"/>
        <v>1.5053780202624001</v>
      </c>
      <c r="AE131" s="1">
        <f t="shared" si="47"/>
        <v>12.9893780202624</v>
      </c>
      <c r="AF131" s="1">
        <v>0</v>
      </c>
    </row>
    <row r="132" spans="1:32" x14ac:dyDescent="0.25">
      <c r="A132" s="33" t="s">
        <v>25</v>
      </c>
      <c r="B132" s="2" t="s">
        <v>26</v>
      </c>
      <c r="C132" s="3">
        <v>45726</v>
      </c>
      <c r="D132" s="6" t="s">
        <v>212</v>
      </c>
      <c r="E132" s="2" t="s">
        <v>122</v>
      </c>
      <c r="F132" s="51">
        <v>1000</v>
      </c>
      <c r="G132" s="3">
        <v>45771</v>
      </c>
      <c r="H132" s="4" t="s">
        <v>213</v>
      </c>
      <c r="I132" s="2" t="s">
        <v>122</v>
      </c>
      <c r="J132" s="52">
        <v>1000</v>
      </c>
      <c r="K132" s="6">
        <f t="shared" si="50"/>
        <v>5.5331999999999999</v>
      </c>
      <c r="L132" s="53">
        <f t="shared" si="48"/>
        <v>5533.2</v>
      </c>
      <c r="M132" s="1" t="s">
        <v>214</v>
      </c>
      <c r="N132" s="3">
        <v>45756</v>
      </c>
      <c r="O132" s="2" t="s">
        <v>122</v>
      </c>
      <c r="P132" s="9">
        <v>1000</v>
      </c>
      <c r="Q132" s="54">
        <v>0.53</v>
      </c>
      <c r="R132" s="55">
        <f t="shared" si="51"/>
        <v>530</v>
      </c>
      <c r="S132" s="56">
        <v>10.44</v>
      </c>
      <c r="T132" s="1">
        <f t="shared" si="52"/>
        <v>5.5331999999999999</v>
      </c>
      <c r="U132" s="57">
        <f t="shared" si="53"/>
        <v>5533.2</v>
      </c>
      <c r="V132" s="58">
        <f t="shared" si="54"/>
        <v>1505.3780202624</v>
      </c>
      <c r="W132" s="53">
        <f t="shared" si="55"/>
        <v>7038.5780202624001</v>
      </c>
      <c r="AC132" s="1"/>
      <c r="AD132" s="59">
        <f t="shared" si="46"/>
        <v>1.5053780202624001</v>
      </c>
      <c r="AE132" s="1">
        <f t="shared" si="47"/>
        <v>7.0385780202624</v>
      </c>
      <c r="AF132" s="1">
        <v>0</v>
      </c>
    </row>
    <row r="133" spans="1:32" x14ac:dyDescent="0.25">
      <c r="A133" s="33" t="s">
        <v>25</v>
      </c>
      <c r="B133" s="2" t="s">
        <v>47</v>
      </c>
      <c r="C133" s="3">
        <v>45726</v>
      </c>
      <c r="D133" s="6" t="s">
        <v>212</v>
      </c>
      <c r="E133" s="2" t="s">
        <v>148</v>
      </c>
      <c r="F133" s="51">
        <v>1000</v>
      </c>
      <c r="G133" s="3">
        <v>45771</v>
      </c>
      <c r="H133" s="4" t="s">
        <v>213</v>
      </c>
      <c r="I133" s="2" t="s">
        <v>148</v>
      </c>
      <c r="J133" s="52">
        <v>1000</v>
      </c>
      <c r="K133" s="6">
        <f t="shared" si="50"/>
        <v>15.137999999999998</v>
      </c>
      <c r="L133" s="53">
        <f t="shared" si="48"/>
        <v>15137.999999999998</v>
      </c>
      <c r="M133" s="1" t="s">
        <v>214</v>
      </c>
      <c r="N133" s="3">
        <v>45756</v>
      </c>
      <c r="O133" s="2" t="s">
        <v>148</v>
      </c>
      <c r="P133" s="9">
        <v>1000</v>
      </c>
      <c r="Q133" s="54">
        <v>1.45</v>
      </c>
      <c r="R133" s="55">
        <f t="shared" si="51"/>
        <v>1450</v>
      </c>
      <c r="S133" s="56">
        <v>10.44</v>
      </c>
      <c r="T133" s="1">
        <f t="shared" si="52"/>
        <v>15.137999999999998</v>
      </c>
      <c r="U133" s="57">
        <f t="shared" si="53"/>
        <v>15137.999999999998</v>
      </c>
      <c r="V133" s="58">
        <f t="shared" si="54"/>
        <v>1505.3780202624</v>
      </c>
      <c r="W133" s="53">
        <f t="shared" si="55"/>
        <v>16643.378020262397</v>
      </c>
      <c r="AC133" s="1"/>
      <c r="AD133" s="59">
        <f t="shared" si="46"/>
        <v>1.5053780202624001</v>
      </c>
      <c r="AE133" s="1">
        <f t="shared" si="47"/>
        <v>16.643378020262396</v>
      </c>
      <c r="AF133" s="1">
        <v>0</v>
      </c>
    </row>
    <row r="134" spans="1:32" x14ac:dyDescent="0.25">
      <c r="A134" s="33" t="s">
        <v>25</v>
      </c>
      <c r="B134" s="2" t="s">
        <v>26</v>
      </c>
      <c r="C134" s="3">
        <v>45726</v>
      </c>
      <c r="D134" s="6" t="s">
        <v>212</v>
      </c>
      <c r="E134" s="2" t="s">
        <v>218</v>
      </c>
      <c r="F134" s="51">
        <v>675</v>
      </c>
      <c r="G134" s="3">
        <v>45771</v>
      </c>
      <c r="H134" s="4" t="s">
        <v>213</v>
      </c>
      <c r="I134" s="2" t="s">
        <v>218</v>
      </c>
      <c r="J134" s="52">
        <v>675</v>
      </c>
      <c r="K134" s="6">
        <f t="shared" si="50"/>
        <v>98.135999999999996</v>
      </c>
      <c r="L134" s="53">
        <f t="shared" si="48"/>
        <v>66241.8</v>
      </c>
      <c r="M134" s="1" t="s">
        <v>214</v>
      </c>
      <c r="N134" s="3">
        <v>45756</v>
      </c>
      <c r="O134" s="2" t="s">
        <v>218</v>
      </c>
      <c r="P134" s="9">
        <v>675</v>
      </c>
      <c r="Q134" s="54">
        <v>9.4</v>
      </c>
      <c r="R134" s="55">
        <f t="shared" si="51"/>
        <v>6345</v>
      </c>
      <c r="S134" s="56">
        <v>10.44</v>
      </c>
      <c r="T134" s="1">
        <f t="shared" si="52"/>
        <v>98.135999999999996</v>
      </c>
      <c r="U134" s="57">
        <f t="shared" si="53"/>
        <v>66241.8</v>
      </c>
      <c r="V134" s="58">
        <f t="shared" si="54"/>
        <v>1016.13016367712</v>
      </c>
      <c r="W134" s="53">
        <f t="shared" si="55"/>
        <v>67257.930163677127</v>
      </c>
      <c r="AC134" s="1"/>
      <c r="AD134" s="59">
        <f t="shared" si="46"/>
        <v>1.5053780202623999</v>
      </c>
      <c r="AE134" s="1">
        <f t="shared" si="47"/>
        <v>99.641378020262394</v>
      </c>
      <c r="AF134" s="1">
        <v>0</v>
      </c>
    </row>
    <row r="135" spans="1:32" x14ac:dyDescent="0.25">
      <c r="A135" s="33" t="s">
        <v>25</v>
      </c>
      <c r="B135" s="2" t="s">
        <v>26</v>
      </c>
      <c r="C135" s="3">
        <v>45726</v>
      </c>
      <c r="D135" s="6" t="s">
        <v>212</v>
      </c>
      <c r="E135" s="2" t="s">
        <v>219</v>
      </c>
      <c r="F135" s="51">
        <v>550</v>
      </c>
      <c r="G135" s="3">
        <v>45771</v>
      </c>
      <c r="H135" s="4" t="s">
        <v>213</v>
      </c>
      <c r="I135" s="2" t="s">
        <v>219</v>
      </c>
      <c r="J135" s="52">
        <v>550</v>
      </c>
      <c r="K135" s="6">
        <f t="shared" si="50"/>
        <v>17.434799999999999</v>
      </c>
      <c r="L135" s="53">
        <f t="shared" si="48"/>
        <v>9589.14</v>
      </c>
      <c r="M135" s="1" t="s">
        <v>214</v>
      </c>
      <c r="N135" s="3">
        <v>45756</v>
      </c>
      <c r="O135" s="2" t="s">
        <v>219</v>
      </c>
      <c r="P135" s="9">
        <v>550</v>
      </c>
      <c r="Q135" s="54">
        <v>1.67</v>
      </c>
      <c r="R135" s="55">
        <f t="shared" si="51"/>
        <v>918.5</v>
      </c>
      <c r="S135" s="56">
        <v>10.44</v>
      </c>
      <c r="T135" s="1">
        <f t="shared" si="52"/>
        <v>17.434799999999999</v>
      </c>
      <c r="U135" s="57">
        <f t="shared" si="53"/>
        <v>9589.14</v>
      </c>
      <c r="V135" s="58">
        <f t="shared" si="54"/>
        <v>827.95791114431995</v>
      </c>
      <c r="W135" s="53">
        <f t="shared" si="55"/>
        <v>10417.097911144319</v>
      </c>
      <c r="AC135" s="1"/>
      <c r="AD135" s="59">
        <f t="shared" si="46"/>
        <v>1.5053780202623999</v>
      </c>
      <c r="AE135" s="1">
        <f t="shared" si="47"/>
        <v>18.940178020262397</v>
      </c>
      <c r="AF135" s="1">
        <v>0</v>
      </c>
    </row>
    <row r="136" spans="1:32" x14ac:dyDescent="0.25">
      <c r="A136" s="33" t="s">
        <v>25</v>
      </c>
      <c r="B136" s="2" t="s">
        <v>26</v>
      </c>
      <c r="C136" s="3">
        <v>45726</v>
      </c>
      <c r="D136" s="6" t="s">
        <v>212</v>
      </c>
      <c r="E136" s="2" t="s">
        <v>58</v>
      </c>
      <c r="F136" s="51">
        <v>4800</v>
      </c>
      <c r="G136" s="3">
        <v>45771</v>
      </c>
      <c r="H136" s="4" t="s">
        <v>213</v>
      </c>
      <c r="I136" s="2" t="s">
        <v>58</v>
      </c>
      <c r="J136" s="52">
        <v>4800</v>
      </c>
      <c r="K136" s="6">
        <f t="shared" si="50"/>
        <v>7.6211999999999991</v>
      </c>
      <c r="L136" s="53">
        <f t="shared" si="48"/>
        <v>36581.759999999995</v>
      </c>
      <c r="M136" s="1" t="s">
        <v>214</v>
      </c>
      <c r="N136" s="3">
        <v>45756</v>
      </c>
      <c r="O136" s="2" t="s">
        <v>58</v>
      </c>
      <c r="P136" s="9">
        <v>4800</v>
      </c>
      <c r="Q136" s="54">
        <v>0.73</v>
      </c>
      <c r="R136" s="55">
        <f t="shared" si="51"/>
        <v>3504</v>
      </c>
      <c r="S136" s="56">
        <v>10.44</v>
      </c>
      <c r="T136" s="1">
        <f t="shared" si="52"/>
        <v>7.6211999999999991</v>
      </c>
      <c r="U136" s="57">
        <f t="shared" si="53"/>
        <v>36581.759999999995</v>
      </c>
      <c r="V136" s="58">
        <f t="shared" si="54"/>
        <v>7225.8144972595192</v>
      </c>
      <c r="W136" s="53">
        <f t="shared" si="55"/>
        <v>43807.574497259513</v>
      </c>
      <c r="AC136" s="1"/>
      <c r="AD136" s="59">
        <f t="shared" si="46"/>
        <v>1.5053780202623999</v>
      </c>
      <c r="AE136" s="1">
        <f t="shared" si="47"/>
        <v>9.1265780202623983</v>
      </c>
      <c r="AF136" s="1">
        <v>0</v>
      </c>
    </row>
    <row r="137" spans="1:32" x14ac:dyDescent="0.25">
      <c r="A137" s="33" t="s">
        <v>25</v>
      </c>
      <c r="B137" s="2" t="s">
        <v>26</v>
      </c>
      <c r="C137" s="3">
        <v>45726</v>
      </c>
      <c r="D137" s="6" t="s">
        <v>212</v>
      </c>
      <c r="E137" s="2" t="s">
        <v>220</v>
      </c>
      <c r="F137" s="51">
        <v>1000</v>
      </c>
      <c r="G137" s="3">
        <v>45771</v>
      </c>
      <c r="H137" s="4" t="s">
        <v>213</v>
      </c>
      <c r="I137" s="2" t="s">
        <v>220</v>
      </c>
      <c r="J137" s="52">
        <v>1000</v>
      </c>
      <c r="K137" s="6">
        <f t="shared" si="50"/>
        <v>13.571999999999999</v>
      </c>
      <c r="L137" s="53">
        <f t="shared" si="48"/>
        <v>13572</v>
      </c>
      <c r="M137" s="1" t="s">
        <v>214</v>
      </c>
      <c r="N137" s="3">
        <v>45756</v>
      </c>
      <c r="O137" s="2" t="s">
        <v>220</v>
      </c>
      <c r="P137" s="9">
        <v>1000</v>
      </c>
      <c r="Q137" s="54">
        <v>1.3</v>
      </c>
      <c r="R137" s="55">
        <f t="shared" si="51"/>
        <v>1300</v>
      </c>
      <c r="S137" s="56">
        <v>10.44</v>
      </c>
      <c r="T137" s="1">
        <f t="shared" si="52"/>
        <v>13.571999999999999</v>
      </c>
      <c r="U137" s="57">
        <f t="shared" si="53"/>
        <v>13572</v>
      </c>
      <c r="V137" s="58">
        <f t="shared" si="54"/>
        <v>1505.3780202624</v>
      </c>
      <c r="W137" s="53">
        <f t="shared" si="55"/>
        <v>15077.3780202624</v>
      </c>
      <c r="AC137" s="1"/>
      <c r="AD137" s="59">
        <f t="shared" si="46"/>
        <v>1.5053780202624001</v>
      </c>
      <c r="AE137" s="1">
        <f t="shared" si="47"/>
        <v>15.077378020262399</v>
      </c>
      <c r="AF137" s="1">
        <v>0</v>
      </c>
    </row>
    <row r="138" spans="1:32" x14ac:dyDescent="0.25">
      <c r="A138" s="33" t="s">
        <v>25</v>
      </c>
      <c r="B138" s="2" t="s">
        <v>47</v>
      </c>
      <c r="C138" s="3">
        <v>45726</v>
      </c>
      <c r="D138" s="6" t="s">
        <v>212</v>
      </c>
      <c r="E138" s="2" t="s">
        <v>221</v>
      </c>
      <c r="F138" s="51">
        <v>1900</v>
      </c>
      <c r="G138" s="3">
        <v>45771</v>
      </c>
      <c r="H138" s="4" t="s">
        <v>213</v>
      </c>
      <c r="I138" s="2" t="s">
        <v>221</v>
      </c>
      <c r="J138" s="52">
        <v>1900</v>
      </c>
      <c r="K138" s="6">
        <f t="shared" si="50"/>
        <v>29.127599999999997</v>
      </c>
      <c r="L138" s="53">
        <f t="shared" si="48"/>
        <v>55342.439999999995</v>
      </c>
      <c r="M138" s="1" t="s">
        <v>214</v>
      </c>
      <c r="N138" s="3">
        <v>45756</v>
      </c>
      <c r="O138" s="2" t="s">
        <v>221</v>
      </c>
      <c r="P138" s="9">
        <v>1900</v>
      </c>
      <c r="Q138" s="54">
        <v>2.79</v>
      </c>
      <c r="R138" s="55">
        <f t="shared" si="51"/>
        <v>5301</v>
      </c>
      <c r="S138" s="56">
        <v>10.44</v>
      </c>
      <c r="T138" s="1">
        <f t="shared" si="52"/>
        <v>29.127599999999997</v>
      </c>
      <c r="U138" s="57">
        <f t="shared" si="53"/>
        <v>55342.439999999995</v>
      </c>
      <c r="V138" s="58">
        <f t="shared" si="54"/>
        <v>2860.2182384985595</v>
      </c>
      <c r="W138" s="53">
        <f t="shared" si="55"/>
        <v>58202.658238498552</v>
      </c>
      <c r="AC138" s="1"/>
      <c r="AD138" s="59">
        <f t="shared" si="46"/>
        <v>1.5053780202623996</v>
      </c>
      <c r="AE138" s="1">
        <f t="shared" si="47"/>
        <v>30.632978020262396</v>
      </c>
      <c r="AF138" s="1">
        <v>0</v>
      </c>
    </row>
    <row r="139" spans="1:32" x14ac:dyDescent="0.25">
      <c r="A139" s="33" t="s">
        <v>25</v>
      </c>
      <c r="B139" s="60" t="s">
        <v>26</v>
      </c>
      <c r="C139" s="61">
        <v>45726</v>
      </c>
      <c r="D139" s="65" t="s">
        <v>212</v>
      </c>
      <c r="E139" s="60" t="s">
        <v>42</v>
      </c>
      <c r="F139" s="62">
        <v>3300</v>
      </c>
      <c r="G139" s="61">
        <v>45771</v>
      </c>
      <c r="H139" s="63" t="s">
        <v>213</v>
      </c>
      <c r="I139" s="60" t="s">
        <v>42</v>
      </c>
      <c r="J139" s="64">
        <v>3300</v>
      </c>
      <c r="K139" s="65">
        <f t="shared" si="50"/>
        <v>6.4727999999999994</v>
      </c>
      <c r="L139" s="66">
        <f t="shared" si="48"/>
        <v>21360.239999999998</v>
      </c>
      <c r="M139" s="67" t="s">
        <v>214</v>
      </c>
      <c r="N139" s="61">
        <v>45756</v>
      </c>
      <c r="O139" s="60" t="s">
        <v>42</v>
      </c>
      <c r="P139" s="31">
        <v>3300</v>
      </c>
      <c r="Q139" s="68">
        <v>0.62</v>
      </c>
      <c r="R139" s="69">
        <f t="shared" si="51"/>
        <v>2046</v>
      </c>
      <c r="S139" s="70">
        <v>10.44</v>
      </c>
      <c r="T139" s="67">
        <f t="shared" si="52"/>
        <v>6.4727999999999994</v>
      </c>
      <c r="U139" s="71">
        <f t="shared" si="53"/>
        <v>21360.239999999998</v>
      </c>
      <c r="V139" s="72">
        <f t="shared" si="54"/>
        <v>4967.7474668659197</v>
      </c>
      <c r="W139" s="66">
        <f t="shared" si="55"/>
        <v>26327.987466865918</v>
      </c>
      <c r="AC139" s="1"/>
      <c r="AD139" s="73">
        <f t="shared" si="46"/>
        <v>1.5053780202623999</v>
      </c>
      <c r="AE139" s="67">
        <f t="shared" si="47"/>
        <v>7.9781780202623995</v>
      </c>
      <c r="AF139" s="67">
        <v>0</v>
      </c>
    </row>
    <row r="140" spans="1:32" x14ac:dyDescent="0.25">
      <c r="A140" s="33" t="s">
        <v>25</v>
      </c>
      <c r="B140" s="60" t="s">
        <v>222</v>
      </c>
      <c r="C140" s="61"/>
      <c r="D140" s="65"/>
      <c r="E140" s="60" t="s">
        <v>223</v>
      </c>
      <c r="F140" s="62">
        <v>25000</v>
      </c>
      <c r="G140" s="61">
        <v>45751</v>
      </c>
      <c r="H140" s="63" t="s">
        <v>224</v>
      </c>
      <c r="I140" s="60" t="s">
        <v>138</v>
      </c>
      <c r="J140" s="64">
        <v>25000</v>
      </c>
      <c r="K140" s="65"/>
      <c r="L140" s="66"/>
      <c r="M140" s="67" t="s">
        <v>225</v>
      </c>
      <c r="N140" s="61">
        <v>45623</v>
      </c>
      <c r="O140" s="60" t="s">
        <v>138</v>
      </c>
      <c r="P140" s="31">
        <v>25000</v>
      </c>
      <c r="Q140" s="68"/>
      <c r="R140" s="69"/>
      <c r="S140" s="70">
        <v>9.6310000000000002</v>
      </c>
      <c r="T140" s="67"/>
      <c r="U140" s="71"/>
      <c r="V140" s="72">
        <f t="shared" si="54"/>
        <v>34718.141075544001</v>
      </c>
      <c r="W140" s="66"/>
      <c r="X140" s="67"/>
      <c r="Y140" s="62"/>
      <c r="Z140" s="67"/>
      <c r="AA140" s="67"/>
      <c r="AB140" s="67"/>
      <c r="AC140" s="67"/>
      <c r="AD140" s="73">
        <f t="shared" si="46"/>
        <v>1.38872564302176</v>
      </c>
      <c r="AE140" s="67"/>
      <c r="AF140" s="67"/>
    </row>
    <row r="141" spans="1:32" x14ac:dyDescent="0.25">
      <c r="A141" s="33" t="s">
        <v>25</v>
      </c>
      <c r="B141" s="2" t="s">
        <v>26</v>
      </c>
      <c r="C141" s="3">
        <v>45726</v>
      </c>
      <c r="D141" s="6" t="s">
        <v>212</v>
      </c>
      <c r="E141" s="2" t="s">
        <v>48</v>
      </c>
      <c r="F141" s="51">
        <v>2000</v>
      </c>
      <c r="G141" s="3">
        <v>45772</v>
      </c>
      <c r="H141" s="4" t="s">
        <v>226</v>
      </c>
      <c r="I141" s="2" t="s">
        <v>48</v>
      </c>
      <c r="J141" s="52">
        <v>2000</v>
      </c>
      <c r="K141" s="6">
        <f t="shared" ref="K141:K156" si="56">T141</f>
        <v>15.080399999999997</v>
      </c>
      <c r="L141" s="53">
        <f t="shared" ref="L141:L177" si="57">K141*J141</f>
        <v>30160.799999999996</v>
      </c>
      <c r="M141" s="1" t="s">
        <v>227</v>
      </c>
      <c r="N141" s="3">
        <v>45762</v>
      </c>
      <c r="O141" s="2" t="s">
        <v>48</v>
      </c>
      <c r="P141" s="9">
        <v>2000</v>
      </c>
      <c r="Q141" s="54">
        <v>1.42</v>
      </c>
      <c r="R141" s="55">
        <f t="shared" ref="R141:R156" si="58">P141*Q141</f>
        <v>2840</v>
      </c>
      <c r="S141" s="56">
        <v>10.62</v>
      </c>
      <c r="T141" s="1">
        <f t="shared" ref="T141:T156" si="59">Q141*S141</f>
        <v>15.080399999999997</v>
      </c>
      <c r="U141" s="57">
        <f t="shared" ref="U141:U156" si="60">P141*T141</f>
        <v>30160.799999999996</v>
      </c>
      <c r="V141" s="58">
        <f t="shared" si="54"/>
        <v>3062.6656274303996</v>
      </c>
      <c r="W141" s="53">
        <f t="shared" ref="W141:W156" si="61">U141+V141</f>
        <v>33223.465627430392</v>
      </c>
      <c r="AC141" s="1"/>
      <c r="AD141" s="59">
        <f t="shared" si="46"/>
        <v>1.5313328137151998</v>
      </c>
      <c r="AE141" s="1">
        <f t="shared" ref="AE141:AE165" si="62">T141+AD141</f>
        <v>16.611732813715196</v>
      </c>
      <c r="AF141" s="1">
        <v>0</v>
      </c>
    </row>
    <row r="142" spans="1:32" x14ac:dyDescent="0.25">
      <c r="A142" s="33" t="s">
        <v>25</v>
      </c>
      <c r="B142" s="2" t="s">
        <v>26</v>
      </c>
      <c r="C142" s="3">
        <v>45726</v>
      </c>
      <c r="D142" s="6" t="s">
        <v>212</v>
      </c>
      <c r="E142" s="2" t="s">
        <v>228</v>
      </c>
      <c r="F142" s="51">
        <v>2000</v>
      </c>
      <c r="G142" s="3">
        <v>45772</v>
      </c>
      <c r="H142" s="4" t="s">
        <v>226</v>
      </c>
      <c r="I142" s="2" t="s">
        <v>228</v>
      </c>
      <c r="J142" s="52">
        <v>2000</v>
      </c>
      <c r="K142" s="6">
        <f t="shared" si="56"/>
        <v>15.93</v>
      </c>
      <c r="L142" s="53">
        <f t="shared" si="57"/>
        <v>31860</v>
      </c>
      <c r="M142" s="1" t="s">
        <v>227</v>
      </c>
      <c r="N142" s="3">
        <v>45762</v>
      </c>
      <c r="O142" s="2" t="s">
        <v>228</v>
      </c>
      <c r="P142" s="9">
        <v>2000</v>
      </c>
      <c r="Q142" s="54">
        <v>1.5</v>
      </c>
      <c r="R142" s="55">
        <f t="shared" si="58"/>
        <v>3000</v>
      </c>
      <c r="S142" s="56">
        <v>10.62</v>
      </c>
      <c r="T142" s="1">
        <f t="shared" si="59"/>
        <v>15.93</v>
      </c>
      <c r="U142" s="57">
        <f t="shared" si="60"/>
        <v>31860</v>
      </c>
      <c r="V142" s="58">
        <f t="shared" si="54"/>
        <v>3062.6656274303996</v>
      </c>
      <c r="W142" s="53">
        <f t="shared" si="61"/>
        <v>34922.665627430397</v>
      </c>
      <c r="AC142" s="1"/>
      <c r="AD142" s="59">
        <f t="shared" si="46"/>
        <v>1.5313328137151998</v>
      </c>
      <c r="AE142" s="1">
        <f t="shared" si="62"/>
        <v>17.461332813715199</v>
      </c>
      <c r="AF142" s="1">
        <v>0</v>
      </c>
    </row>
    <row r="143" spans="1:32" x14ac:dyDescent="0.25">
      <c r="A143" s="33" t="s">
        <v>25</v>
      </c>
      <c r="B143" s="2" t="s">
        <v>26</v>
      </c>
      <c r="C143" s="3">
        <v>45726</v>
      </c>
      <c r="D143" s="6" t="s">
        <v>212</v>
      </c>
      <c r="E143" s="2" t="s">
        <v>54</v>
      </c>
      <c r="F143" s="51">
        <v>5000</v>
      </c>
      <c r="G143" s="3">
        <v>45772</v>
      </c>
      <c r="H143" s="4" t="s">
        <v>226</v>
      </c>
      <c r="I143" s="2" t="s">
        <v>54</v>
      </c>
      <c r="J143" s="52">
        <v>5000</v>
      </c>
      <c r="K143" s="6">
        <f t="shared" si="56"/>
        <v>22.726800000000001</v>
      </c>
      <c r="L143" s="53">
        <f t="shared" si="57"/>
        <v>113634</v>
      </c>
      <c r="M143" s="1" t="s">
        <v>227</v>
      </c>
      <c r="N143" s="3">
        <v>45762</v>
      </c>
      <c r="O143" s="2" t="s">
        <v>54</v>
      </c>
      <c r="P143" s="9">
        <v>5000</v>
      </c>
      <c r="Q143" s="54">
        <v>2.14</v>
      </c>
      <c r="R143" s="55">
        <f t="shared" si="58"/>
        <v>10700</v>
      </c>
      <c r="S143" s="56">
        <v>10.62</v>
      </c>
      <c r="T143" s="1">
        <f t="shared" si="59"/>
        <v>22.726800000000001</v>
      </c>
      <c r="U143" s="57">
        <f t="shared" si="60"/>
        <v>113634</v>
      </c>
      <c r="V143" s="58">
        <f t="shared" si="54"/>
        <v>7656.6640685759994</v>
      </c>
      <c r="W143" s="53">
        <f t="shared" si="61"/>
        <v>121290.66406857601</v>
      </c>
      <c r="AC143" s="1"/>
      <c r="AD143" s="59">
        <f t="shared" si="46"/>
        <v>1.5313328137151998</v>
      </c>
      <c r="AE143" s="1">
        <f t="shared" si="62"/>
        <v>24.2581328137152</v>
      </c>
      <c r="AF143" s="1">
        <v>0</v>
      </c>
    </row>
    <row r="144" spans="1:32" x14ac:dyDescent="0.25">
      <c r="A144" s="33" t="s">
        <v>25</v>
      </c>
      <c r="B144" s="2" t="s">
        <v>26</v>
      </c>
      <c r="C144" s="3">
        <v>45726</v>
      </c>
      <c r="D144" s="6" t="s">
        <v>212</v>
      </c>
      <c r="E144" s="2" t="s">
        <v>148</v>
      </c>
      <c r="F144" s="51">
        <v>1000</v>
      </c>
      <c r="G144" s="3">
        <v>45772</v>
      </c>
      <c r="H144" s="4" t="s">
        <v>226</v>
      </c>
      <c r="I144" s="2" t="s">
        <v>148</v>
      </c>
      <c r="J144" s="52">
        <v>1000</v>
      </c>
      <c r="K144" s="6">
        <f t="shared" si="56"/>
        <v>15.398999999999999</v>
      </c>
      <c r="L144" s="53">
        <f t="shared" si="57"/>
        <v>15399</v>
      </c>
      <c r="M144" s="1" t="s">
        <v>227</v>
      </c>
      <c r="N144" s="3">
        <v>45762</v>
      </c>
      <c r="O144" s="2" t="s">
        <v>148</v>
      </c>
      <c r="P144" s="9">
        <v>1000</v>
      </c>
      <c r="Q144" s="54">
        <v>1.45</v>
      </c>
      <c r="R144" s="55">
        <f t="shared" si="58"/>
        <v>1450</v>
      </c>
      <c r="S144" s="56">
        <v>10.62</v>
      </c>
      <c r="T144" s="1">
        <f t="shared" si="59"/>
        <v>15.398999999999999</v>
      </c>
      <c r="U144" s="57">
        <f t="shared" si="60"/>
        <v>15399</v>
      </c>
      <c r="V144" s="58">
        <f t="shared" si="54"/>
        <v>1531.3328137151998</v>
      </c>
      <c r="W144" s="53">
        <f t="shared" si="61"/>
        <v>16930.332813715198</v>
      </c>
      <c r="AC144" s="1"/>
      <c r="AD144" s="59">
        <f t="shared" si="46"/>
        <v>1.5313328137151998</v>
      </c>
      <c r="AE144" s="1">
        <f t="shared" si="62"/>
        <v>16.9303328137152</v>
      </c>
      <c r="AF144" s="1">
        <v>0</v>
      </c>
    </row>
    <row r="145" spans="1:33" x14ac:dyDescent="0.25">
      <c r="A145" s="33" t="s">
        <v>25</v>
      </c>
      <c r="B145" s="2" t="s">
        <v>26</v>
      </c>
      <c r="C145" s="3">
        <v>45726</v>
      </c>
      <c r="D145" s="6" t="s">
        <v>212</v>
      </c>
      <c r="E145" s="2" t="s">
        <v>229</v>
      </c>
      <c r="F145" s="51">
        <v>1350</v>
      </c>
      <c r="G145" s="3">
        <v>45772</v>
      </c>
      <c r="H145" s="4" t="s">
        <v>226</v>
      </c>
      <c r="I145" s="2" t="s">
        <v>229</v>
      </c>
      <c r="J145" s="52">
        <v>1350</v>
      </c>
      <c r="K145" s="6">
        <f t="shared" si="56"/>
        <v>99.828000000000003</v>
      </c>
      <c r="L145" s="53">
        <f t="shared" si="57"/>
        <v>134767.80000000002</v>
      </c>
      <c r="M145" s="1" t="s">
        <v>227</v>
      </c>
      <c r="N145" s="3">
        <v>45762</v>
      </c>
      <c r="O145" s="2" t="s">
        <v>229</v>
      </c>
      <c r="P145" s="9">
        <v>1350</v>
      </c>
      <c r="Q145" s="54">
        <v>9.4</v>
      </c>
      <c r="R145" s="55">
        <f t="shared" si="58"/>
        <v>12690</v>
      </c>
      <c r="S145" s="56">
        <v>10.62</v>
      </c>
      <c r="T145" s="1">
        <f t="shared" si="59"/>
        <v>99.828000000000003</v>
      </c>
      <c r="U145" s="57">
        <f t="shared" si="60"/>
        <v>134767.80000000002</v>
      </c>
      <c r="V145" s="58">
        <f t="shared" si="54"/>
        <v>2067.2992985155197</v>
      </c>
      <c r="W145" s="53">
        <f t="shared" si="61"/>
        <v>136835.09929851553</v>
      </c>
      <c r="AC145" s="1"/>
      <c r="AD145" s="59">
        <f t="shared" si="46"/>
        <v>1.5313328137151998</v>
      </c>
      <c r="AE145" s="1">
        <f t="shared" si="62"/>
        <v>101.3593328137152</v>
      </c>
      <c r="AF145" s="1">
        <v>0</v>
      </c>
    </row>
    <row r="146" spans="1:33" x14ac:dyDescent="0.25">
      <c r="A146" s="33" t="s">
        <v>25</v>
      </c>
      <c r="B146" s="2" t="s">
        <v>26</v>
      </c>
      <c r="C146" s="3">
        <v>45726</v>
      </c>
      <c r="D146" s="6" t="s">
        <v>212</v>
      </c>
      <c r="E146" s="2" t="s">
        <v>58</v>
      </c>
      <c r="F146" s="51">
        <v>2400</v>
      </c>
      <c r="G146" s="3">
        <v>45772</v>
      </c>
      <c r="H146" s="4" t="s">
        <v>226</v>
      </c>
      <c r="I146" s="2" t="s">
        <v>58</v>
      </c>
      <c r="J146" s="52">
        <v>2400</v>
      </c>
      <c r="K146" s="6">
        <f t="shared" si="56"/>
        <v>7.7525999999999993</v>
      </c>
      <c r="L146" s="53">
        <f t="shared" si="57"/>
        <v>18606.239999999998</v>
      </c>
      <c r="M146" s="1" t="s">
        <v>227</v>
      </c>
      <c r="N146" s="3">
        <v>45762</v>
      </c>
      <c r="O146" s="2" t="s">
        <v>58</v>
      </c>
      <c r="P146" s="9">
        <v>2400</v>
      </c>
      <c r="Q146" s="54">
        <v>0.73</v>
      </c>
      <c r="R146" s="55">
        <f t="shared" si="58"/>
        <v>1752</v>
      </c>
      <c r="S146" s="56">
        <v>10.62</v>
      </c>
      <c r="T146" s="1">
        <f t="shared" si="59"/>
        <v>7.7525999999999993</v>
      </c>
      <c r="U146" s="57">
        <f t="shared" si="60"/>
        <v>18606.239999999998</v>
      </c>
      <c r="V146" s="58">
        <f t="shared" si="54"/>
        <v>3675.1987529164794</v>
      </c>
      <c r="W146" s="53">
        <f t="shared" si="61"/>
        <v>22281.438752916478</v>
      </c>
      <c r="AC146" s="1"/>
      <c r="AD146" s="59">
        <f t="shared" si="46"/>
        <v>1.5313328137151998</v>
      </c>
      <c r="AE146" s="1">
        <f t="shared" si="62"/>
        <v>9.2839328137151984</v>
      </c>
      <c r="AF146" s="1">
        <v>0</v>
      </c>
    </row>
    <row r="147" spans="1:33" x14ac:dyDescent="0.25">
      <c r="A147" s="33" t="s">
        <v>25</v>
      </c>
      <c r="B147" s="2" t="s">
        <v>26</v>
      </c>
      <c r="C147" s="3">
        <v>45726</v>
      </c>
      <c r="D147" s="6" t="s">
        <v>212</v>
      </c>
      <c r="E147" s="2" t="s">
        <v>40</v>
      </c>
      <c r="F147" s="51">
        <v>3000</v>
      </c>
      <c r="G147" s="3">
        <v>45772</v>
      </c>
      <c r="H147" s="4" t="s">
        <v>226</v>
      </c>
      <c r="I147" s="2" t="s">
        <v>40</v>
      </c>
      <c r="J147" s="52">
        <v>3000</v>
      </c>
      <c r="K147" s="6">
        <f t="shared" si="56"/>
        <v>13.805999999999999</v>
      </c>
      <c r="L147" s="53">
        <f t="shared" si="57"/>
        <v>41418</v>
      </c>
      <c r="M147" s="1" t="s">
        <v>227</v>
      </c>
      <c r="N147" s="3">
        <v>45762</v>
      </c>
      <c r="O147" s="2" t="s">
        <v>40</v>
      </c>
      <c r="P147" s="9">
        <v>3000</v>
      </c>
      <c r="Q147" s="54">
        <v>1.3</v>
      </c>
      <c r="R147" s="55">
        <f t="shared" si="58"/>
        <v>3900</v>
      </c>
      <c r="S147" s="56">
        <v>10.62</v>
      </c>
      <c r="T147" s="1">
        <f t="shared" si="59"/>
        <v>13.805999999999999</v>
      </c>
      <c r="U147" s="57">
        <f t="shared" si="60"/>
        <v>41418</v>
      </c>
      <c r="V147" s="58">
        <f t="shared" si="54"/>
        <v>4593.9984411455998</v>
      </c>
      <c r="W147" s="53">
        <f t="shared" si="61"/>
        <v>46011.998441145603</v>
      </c>
      <c r="AC147" s="1"/>
      <c r="AD147" s="59">
        <f t="shared" si="46"/>
        <v>1.5313328137152</v>
      </c>
      <c r="AE147" s="1">
        <f t="shared" si="62"/>
        <v>15.3373328137152</v>
      </c>
      <c r="AF147" s="1">
        <v>0</v>
      </c>
    </row>
    <row r="148" spans="1:33" x14ac:dyDescent="0.25">
      <c r="A148" s="33" t="s">
        <v>25</v>
      </c>
      <c r="B148" s="2" t="s">
        <v>26</v>
      </c>
      <c r="C148" s="3">
        <v>45726</v>
      </c>
      <c r="D148" s="6" t="s">
        <v>212</v>
      </c>
      <c r="E148" s="2" t="s">
        <v>43</v>
      </c>
      <c r="F148" s="51">
        <v>1000</v>
      </c>
      <c r="G148" s="3">
        <v>45772</v>
      </c>
      <c r="H148" s="4" t="s">
        <v>226</v>
      </c>
      <c r="I148" s="2" t="s">
        <v>43</v>
      </c>
      <c r="J148" s="52">
        <v>1000</v>
      </c>
      <c r="K148" s="6">
        <f t="shared" si="56"/>
        <v>20.815199999999997</v>
      </c>
      <c r="L148" s="53">
        <f t="shared" si="57"/>
        <v>20815.199999999997</v>
      </c>
      <c r="M148" s="1" t="s">
        <v>227</v>
      </c>
      <c r="N148" s="3">
        <v>45762</v>
      </c>
      <c r="O148" s="2" t="s">
        <v>43</v>
      </c>
      <c r="P148" s="9">
        <v>1000</v>
      </c>
      <c r="Q148" s="54">
        <v>1.96</v>
      </c>
      <c r="R148" s="55">
        <f t="shared" si="58"/>
        <v>1960</v>
      </c>
      <c r="S148" s="56">
        <v>10.62</v>
      </c>
      <c r="T148" s="1">
        <f t="shared" si="59"/>
        <v>20.815199999999997</v>
      </c>
      <c r="U148" s="57">
        <f t="shared" si="60"/>
        <v>20815.199999999997</v>
      </c>
      <c r="V148" s="58">
        <f t="shared" si="54"/>
        <v>1531.3328137151998</v>
      </c>
      <c r="W148" s="53">
        <f t="shared" si="61"/>
        <v>22346.532813715196</v>
      </c>
      <c r="AC148" s="1"/>
      <c r="AD148" s="59">
        <f t="shared" si="46"/>
        <v>1.5313328137151998</v>
      </c>
      <c r="AE148" s="1">
        <f t="shared" si="62"/>
        <v>22.346532813715196</v>
      </c>
      <c r="AF148" s="1">
        <v>0</v>
      </c>
    </row>
    <row r="149" spans="1:33" x14ac:dyDescent="0.25">
      <c r="A149" s="33" t="s">
        <v>25</v>
      </c>
      <c r="B149" s="2" t="s">
        <v>47</v>
      </c>
      <c r="C149" s="3">
        <v>45726</v>
      </c>
      <c r="D149" s="6" t="s">
        <v>212</v>
      </c>
      <c r="E149" s="2" t="s">
        <v>221</v>
      </c>
      <c r="F149" s="51">
        <f>950+1900+950+1900</f>
        <v>5700</v>
      </c>
      <c r="G149" s="3">
        <v>45772</v>
      </c>
      <c r="H149" s="4" t="s">
        <v>226</v>
      </c>
      <c r="I149" s="2" t="s">
        <v>221</v>
      </c>
      <c r="J149" s="52">
        <v>5700</v>
      </c>
      <c r="K149" s="6">
        <f t="shared" si="56"/>
        <v>29.629799999999999</v>
      </c>
      <c r="L149" s="53">
        <f t="shared" si="57"/>
        <v>168889.86</v>
      </c>
      <c r="M149" s="1" t="s">
        <v>227</v>
      </c>
      <c r="N149" s="3">
        <v>45762</v>
      </c>
      <c r="O149" s="2" t="s">
        <v>221</v>
      </c>
      <c r="P149" s="9">
        <v>5700</v>
      </c>
      <c r="Q149" s="54">
        <v>2.79</v>
      </c>
      <c r="R149" s="55">
        <f t="shared" si="58"/>
        <v>15903</v>
      </c>
      <c r="S149" s="56">
        <v>10.62</v>
      </c>
      <c r="T149" s="1">
        <f t="shared" si="59"/>
        <v>29.629799999999999</v>
      </c>
      <c r="U149" s="57">
        <f t="shared" si="60"/>
        <v>168889.86</v>
      </c>
      <c r="V149" s="58">
        <f t="shared" si="54"/>
        <v>8728.5970381766383</v>
      </c>
      <c r="W149" s="53">
        <f t="shared" si="61"/>
        <v>177618.45703817662</v>
      </c>
      <c r="AC149" s="1"/>
      <c r="AD149" s="59">
        <f t="shared" si="46"/>
        <v>1.5313328137151998</v>
      </c>
      <c r="AE149" s="1">
        <f t="shared" si="62"/>
        <v>31.161132813715199</v>
      </c>
      <c r="AF149" s="1">
        <v>0</v>
      </c>
    </row>
    <row r="150" spans="1:33" x14ac:dyDescent="0.25">
      <c r="A150" s="33" t="s">
        <v>25</v>
      </c>
      <c r="B150" s="60" t="s">
        <v>26</v>
      </c>
      <c r="C150" s="61">
        <v>45726</v>
      </c>
      <c r="D150" s="65" t="s">
        <v>212</v>
      </c>
      <c r="E150" s="60" t="s">
        <v>42</v>
      </c>
      <c r="F150" s="62">
        <v>2200</v>
      </c>
      <c r="G150" s="75">
        <v>45772</v>
      </c>
      <c r="H150" s="63" t="s">
        <v>226</v>
      </c>
      <c r="I150" s="60" t="s">
        <v>42</v>
      </c>
      <c r="J150" s="64">
        <v>2200</v>
      </c>
      <c r="K150" s="65">
        <f t="shared" si="56"/>
        <v>6.5843999999999996</v>
      </c>
      <c r="L150" s="66">
        <f t="shared" si="57"/>
        <v>14485.679999999998</v>
      </c>
      <c r="M150" s="67" t="s">
        <v>227</v>
      </c>
      <c r="N150" s="61">
        <v>45762</v>
      </c>
      <c r="O150" s="60" t="s">
        <v>42</v>
      </c>
      <c r="P150" s="31">
        <v>2200</v>
      </c>
      <c r="Q150" s="68">
        <v>0.62</v>
      </c>
      <c r="R150" s="69">
        <f t="shared" si="58"/>
        <v>1364</v>
      </c>
      <c r="S150" s="70">
        <v>10.62</v>
      </c>
      <c r="T150" s="67">
        <f t="shared" si="59"/>
        <v>6.5843999999999996</v>
      </c>
      <c r="U150" s="71">
        <f t="shared" si="60"/>
        <v>14485.679999999998</v>
      </c>
      <c r="V150" s="72">
        <f t="shared" si="54"/>
        <v>3368.9321901734397</v>
      </c>
      <c r="W150" s="66">
        <f t="shared" si="61"/>
        <v>17854.612190173437</v>
      </c>
      <c r="X150" s="67"/>
      <c r="Y150" s="62"/>
      <c r="Z150" s="67"/>
      <c r="AA150" s="67"/>
      <c r="AB150" s="67"/>
      <c r="AC150" s="67"/>
      <c r="AD150" s="73">
        <f t="shared" si="46"/>
        <v>1.5313328137151998</v>
      </c>
      <c r="AE150" s="67">
        <f t="shared" si="62"/>
        <v>8.1157328137151996</v>
      </c>
      <c r="AF150" s="67">
        <v>0</v>
      </c>
      <c r="AG150" s="67"/>
    </row>
    <row r="151" spans="1:33" x14ac:dyDescent="0.25">
      <c r="A151" s="33" t="s">
        <v>25</v>
      </c>
      <c r="B151" s="76" t="s">
        <v>47</v>
      </c>
      <c r="C151" s="77">
        <v>45726</v>
      </c>
      <c r="D151" s="50" t="s">
        <v>212</v>
      </c>
      <c r="E151" s="76" t="s">
        <v>37</v>
      </c>
      <c r="F151" s="78">
        <v>5500</v>
      </c>
      <c r="G151" s="77">
        <v>45792</v>
      </c>
      <c r="H151" s="79" t="s">
        <v>230</v>
      </c>
      <c r="I151" s="76" t="s">
        <v>37</v>
      </c>
      <c r="J151" s="80">
        <v>5500</v>
      </c>
      <c r="K151" s="50">
        <f t="shared" si="56"/>
        <v>9.6813000000000002</v>
      </c>
      <c r="L151" s="81">
        <f t="shared" si="57"/>
        <v>53247.15</v>
      </c>
      <c r="M151" s="82" t="s">
        <v>231</v>
      </c>
      <c r="N151" s="77">
        <v>45763</v>
      </c>
      <c r="O151" s="76" t="s">
        <v>37</v>
      </c>
      <c r="P151" s="83">
        <v>5500</v>
      </c>
      <c r="Q151" s="84">
        <v>0.93</v>
      </c>
      <c r="R151" s="85">
        <f t="shared" si="58"/>
        <v>5115</v>
      </c>
      <c r="S151" s="86">
        <v>10.41</v>
      </c>
      <c r="T151" s="82">
        <f t="shared" si="59"/>
        <v>9.6813000000000002</v>
      </c>
      <c r="U151" s="87">
        <f t="shared" si="60"/>
        <v>53247.15</v>
      </c>
      <c r="V151" s="88">
        <f t="shared" ref="V151:V156" si="63">((0.11931936086)*P151)*S151</f>
        <v>6831.6300060393005</v>
      </c>
      <c r="W151" s="81">
        <f t="shared" si="61"/>
        <v>60078.780006039306</v>
      </c>
      <c r="X151" s="82"/>
      <c r="Y151" s="78"/>
      <c r="Z151" s="82"/>
      <c r="AA151" s="82"/>
      <c r="AB151" s="82"/>
      <c r="AC151" s="82"/>
      <c r="AD151" s="89">
        <f t="shared" si="46"/>
        <v>1.2421145465526</v>
      </c>
      <c r="AE151" s="82">
        <f t="shared" si="62"/>
        <v>10.9234145465526</v>
      </c>
      <c r="AF151" s="82">
        <v>0</v>
      </c>
      <c r="AG151" s="82"/>
    </row>
    <row r="152" spans="1:33" x14ac:dyDescent="0.25">
      <c r="A152" s="33" t="s">
        <v>25</v>
      </c>
      <c r="B152" s="2" t="s">
        <v>47</v>
      </c>
      <c r="C152" s="3">
        <v>45726</v>
      </c>
      <c r="D152" s="6" t="s">
        <v>212</v>
      </c>
      <c r="E152" s="2" t="s">
        <v>40</v>
      </c>
      <c r="F152" s="51">
        <v>4000</v>
      </c>
      <c r="G152" s="3">
        <v>45792</v>
      </c>
      <c r="H152" s="4" t="s">
        <v>230</v>
      </c>
      <c r="I152" s="2" t="s">
        <v>40</v>
      </c>
      <c r="J152" s="52">
        <v>4000</v>
      </c>
      <c r="K152" s="6">
        <f t="shared" si="56"/>
        <v>13.533000000000001</v>
      </c>
      <c r="L152" s="53">
        <f t="shared" si="57"/>
        <v>54132.000000000007</v>
      </c>
      <c r="M152" s="1" t="s">
        <v>231</v>
      </c>
      <c r="N152" s="3">
        <v>45763</v>
      </c>
      <c r="O152" s="2" t="s">
        <v>40</v>
      </c>
      <c r="P152" s="9">
        <v>4000</v>
      </c>
      <c r="Q152" s="54">
        <v>1.3</v>
      </c>
      <c r="R152" s="55">
        <f t="shared" si="58"/>
        <v>5200</v>
      </c>
      <c r="S152" s="56">
        <v>10.41</v>
      </c>
      <c r="T152" s="1">
        <f t="shared" si="59"/>
        <v>13.533000000000001</v>
      </c>
      <c r="U152" s="57">
        <f t="shared" si="60"/>
        <v>54132.000000000007</v>
      </c>
      <c r="V152" s="58">
        <f t="shared" si="63"/>
        <v>4968.4581862104005</v>
      </c>
      <c r="W152" s="53">
        <f t="shared" si="61"/>
        <v>59100.45818621041</v>
      </c>
      <c r="AC152" s="1"/>
      <c r="AD152" s="74">
        <f t="shared" si="46"/>
        <v>1.2421145465526002</v>
      </c>
      <c r="AE152" s="1">
        <f t="shared" si="62"/>
        <v>14.775114546552601</v>
      </c>
      <c r="AF152" s="1">
        <v>0</v>
      </c>
    </row>
    <row r="153" spans="1:33" x14ac:dyDescent="0.25">
      <c r="A153" s="33" t="s">
        <v>25</v>
      </c>
      <c r="B153" s="2" t="s">
        <v>47</v>
      </c>
      <c r="C153" s="3">
        <v>45726</v>
      </c>
      <c r="D153" s="6" t="s">
        <v>212</v>
      </c>
      <c r="E153" s="2" t="s">
        <v>41</v>
      </c>
      <c r="F153" s="51">
        <v>2200</v>
      </c>
      <c r="G153" s="3">
        <v>45792</v>
      </c>
      <c r="H153" s="4" t="s">
        <v>230</v>
      </c>
      <c r="I153" s="2" t="s">
        <v>41</v>
      </c>
      <c r="J153" s="52">
        <v>2200</v>
      </c>
      <c r="K153" s="6">
        <f t="shared" si="56"/>
        <v>8.0157000000000007</v>
      </c>
      <c r="L153" s="53">
        <f>K153*J153</f>
        <v>17634.54</v>
      </c>
      <c r="M153" s="1" t="s">
        <v>231</v>
      </c>
      <c r="N153" s="3">
        <v>45763</v>
      </c>
      <c r="O153" s="2" t="s">
        <v>41</v>
      </c>
      <c r="P153" s="9">
        <v>2200</v>
      </c>
      <c r="Q153" s="54">
        <v>0.77</v>
      </c>
      <c r="R153" s="55">
        <f t="shared" si="58"/>
        <v>1694</v>
      </c>
      <c r="S153" s="56">
        <v>10.41</v>
      </c>
      <c r="T153" s="1">
        <f t="shared" si="59"/>
        <v>8.0157000000000007</v>
      </c>
      <c r="U153" s="57">
        <f t="shared" si="60"/>
        <v>17634.54</v>
      </c>
      <c r="V153" s="58">
        <f t="shared" si="63"/>
        <v>2732.6520024157198</v>
      </c>
      <c r="W153" s="53">
        <f t="shared" si="61"/>
        <v>20367.192002415723</v>
      </c>
      <c r="AC153" s="1"/>
      <c r="AD153" s="59">
        <f t="shared" si="46"/>
        <v>1.2421145465526</v>
      </c>
      <c r="AE153" s="1">
        <f t="shared" si="62"/>
        <v>9.2578145465526003</v>
      </c>
      <c r="AF153" s="1">
        <v>0</v>
      </c>
    </row>
    <row r="154" spans="1:33" x14ac:dyDescent="0.25">
      <c r="A154" s="33" t="s">
        <v>25</v>
      </c>
      <c r="B154" s="2" t="s">
        <v>47</v>
      </c>
      <c r="C154" s="3">
        <v>45726</v>
      </c>
      <c r="D154" s="6" t="s">
        <v>212</v>
      </c>
      <c r="E154" s="2" t="s">
        <v>42</v>
      </c>
      <c r="F154" s="51">
        <v>5500</v>
      </c>
      <c r="G154" s="3">
        <v>45792</v>
      </c>
      <c r="H154" s="4" t="s">
        <v>230</v>
      </c>
      <c r="I154" s="2" t="s">
        <v>42</v>
      </c>
      <c r="J154" s="52">
        <v>5500</v>
      </c>
      <c r="K154" s="6">
        <f t="shared" si="56"/>
        <v>6.4542000000000002</v>
      </c>
      <c r="L154" s="53">
        <f t="shared" si="57"/>
        <v>35498.1</v>
      </c>
      <c r="M154" s="1" t="s">
        <v>231</v>
      </c>
      <c r="N154" s="3">
        <v>45763</v>
      </c>
      <c r="O154" s="2" t="s">
        <v>42</v>
      </c>
      <c r="P154" s="9">
        <v>5500</v>
      </c>
      <c r="Q154" s="54">
        <v>0.62</v>
      </c>
      <c r="R154" s="55">
        <f>P154*Q154</f>
        <v>3410</v>
      </c>
      <c r="S154" s="56">
        <v>10.41</v>
      </c>
      <c r="T154" s="1">
        <f>Q154*S154</f>
        <v>6.4542000000000002</v>
      </c>
      <c r="U154" s="57">
        <f>P154*T154</f>
        <v>35498.1</v>
      </c>
      <c r="V154" s="58">
        <f>((0.11931936086)*P154)*S154</f>
        <v>6831.6300060393005</v>
      </c>
      <c r="W154" s="53">
        <f t="shared" si="61"/>
        <v>42329.730006039303</v>
      </c>
      <c r="AC154" s="1"/>
      <c r="AD154" s="59">
        <f t="shared" si="46"/>
        <v>1.2421145465526</v>
      </c>
      <c r="AE154" s="1">
        <f t="shared" si="62"/>
        <v>7.6963145465525997</v>
      </c>
      <c r="AF154" s="1">
        <v>0</v>
      </c>
    </row>
    <row r="155" spans="1:33" x14ac:dyDescent="0.25">
      <c r="A155" s="33" t="s">
        <v>25</v>
      </c>
      <c r="B155" s="2" t="s">
        <v>47</v>
      </c>
      <c r="C155" s="3">
        <v>45726</v>
      </c>
      <c r="D155" s="6" t="s">
        <v>212</v>
      </c>
      <c r="E155" s="2" t="s">
        <v>43</v>
      </c>
      <c r="F155" s="51">
        <v>1000</v>
      </c>
      <c r="G155" s="3">
        <v>45792</v>
      </c>
      <c r="H155" s="4" t="s">
        <v>230</v>
      </c>
      <c r="I155" s="2" t="s">
        <v>43</v>
      </c>
      <c r="J155" s="52">
        <v>1000</v>
      </c>
      <c r="K155" s="6">
        <f t="shared" si="56"/>
        <v>20.403600000000001</v>
      </c>
      <c r="L155" s="53">
        <f t="shared" si="57"/>
        <v>20403.600000000002</v>
      </c>
      <c r="M155" s="1" t="s">
        <v>231</v>
      </c>
      <c r="N155" s="3">
        <v>45763</v>
      </c>
      <c r="O155" s="2" t="s">
        <v>43</v>
      </c>
      <c r="P155" s="9">
        <v>1000</v>
      </c>
      <c r="Q155" s="54">
        <v>1.96</v>
      </c>
      <c r="R155" s="55">
        <f t="shared" si="58"/>
        <v>1960</v>
      </c>
      <c r="S155" s="56">
        <v>10.41</v>
      </c>
      <c r="T155" s="1">
        <f t="shared" si="59"/>
        <v>20.403600000000001</v>
      </c>
      <c r="U155" s="57">
        <f t="shared" si="60"/>
        <v>20403.600000000002</v>
      </c>
      <c r="V155" s="58">
        <f t="shared" si="63"/>
        <v>1242.1145465526001</v>
      </c>
      <c r="W155" s="53">
        <f t="shared" si="61"/>
        <v>21645.714546552601</v>
      </c>
      <c r="AC155" s="1"/>
      <c r="AD155" s="74">
        <f>V155/P155</f>
        <v>1.2421145465526002</v>
      </c>
      <c r="AE155" s="98">
        <f>T155+AD155</f>
        <v>21.6457145465526</v>
      </c>
      <c r="AF155" s="1">
        <v>0</v>
      </c>
    </row>
    <row r="156" spans="1:33" x14ac:dyDescent="0.25">
      <c r="A156" s="33" t="s">
        <v>25</v>
      </c>
      <c r="B156" s="60" t="s">
        <v>47</v>
      </c>
      <c r="C156" s="61">
        <v>45726</v>
      </c>
      <c r="D156" s="65" t="s">
        <v>212</v>
      </c>
      <c r="E156" s="60" t="s">
        <v>149</v>
      </c>
      <c r="F156" s="62">
        <v>1000</v>
      </c>
      <c r="G156" s="61">
        <v>45792</v>
      </c>
      <c r="H156" s="63" t="s">
        <v>230</v>
      </c>
      <c r="I156" s="60" t="s">
        <v>149</v>
      </c>
      <c r="J156" s="64">
        <v>1000</v>
      </c>
      <c r="K156" s="65">
        <f t="shared" si="56"/>
        <v>8.7444000000000006</v>
      </c>
      <c r="L156" s="66">
        <f t="shared" si="57"/>
        <v>8744.4000000000015</v>
      </c>
      <c r="M156" s="67" t="s">
        <v>231</v>
      </c>
      <c r="N156" s="61">
        <v>45763</v>
      </c>
      <c r="O156" s="60" t="s">
        <v>149</v>
      </c>
      <c r="P156" s="31">
        <v>1000</v>
      </c>
      <c r="Q156" s="68">
        <v>0.84</v>
      </c>
      <c r="R156" s="69">
        <f t="shared" si="58"/>
        <v>840</v>
      </c>
      <c r="S156" s="70">
        <v>10.41</v>
      </c>
      <c r="T156" s="67">
        <f t="shared" si="59"/>
        <v>8.7444000000000006</v>
      </c>
      <c r="U156" s="71">
        <f t="shared" si="60"/>
        <v>8744.4000000000015</v>
      </c>
      <c r="V156" s="72">
        <f t="shared" si="63"/>
        <v>1242.1145465526001</v>
      </c>
      <c r="W156" s="66">
        <f t="shared" si="61"/>
        <v>9986.514546552602</v>
      </c>
      <c r="X156" s="67"/>
      <c r="Y156" s="62"/>
      <c r="Z156" s="67"/>
      <c r="AA156" s="67"/>
      <c r="AB156" s="67"/>
      <c r="AC156" s="67"/>
      <c r="AD156" s="73">
        <f t="shared" si="46"/>
        <v>1.2421145465526002</v>
      </c>
      <c r="AE156" s="67">
        <f t="shared" si="62"/>
        <v>9.9865145465526002</v>
      </c>
      <c r="AF156" s="67">
        <v>0</v>
      </c>
      <c r="AG156" s="67"/>
    </row>
    <row r="157" spans="1:33" x14ac:dyDescent="0.25">
      <c r="A157" s="49" t="s">
        <v>31</v>
      </c>
      <c r="B157" s="34" t="s">
        <v>101</v>
      </c>
      <c r="C157" s="35">
        <v>45807</v>
      </c>
      <c r="D157" s="36" t="s">
        <v>212</v>
      </c>
      <c r="E157" s="34" t="s">
        <v>105</v>
      </c>
      <c r="F157" s="37">
        <v>2000</v>
      </c>
      <c r="G157" s="35">
        <v>45813</v>
      </c>
      <c r="H157" s="38" t="s">
        <v>232</v>
      </c>
      <c r="I157" s="34" t="s">
        <v>105</v>
      </c>
      <c r="J157" s="39">
        <v>2000</v>
      </c>
      <c r="K157" s="36">
        <v>13.5</v>
      </c>
      <c r="L157" s="40">
        <f t="shared" si="57"/>
        <v>27000</v>
      </c>
      <c r="M157" s="41" t="s">
        <v>233</v>
      </c>
      <c r="N157" s="35">
        <v>45811</v>
      </c>
      <c r="O157" s="34" t="s">
        <v>105</v>
      </c>
      <c r="P157" s="42">
        <v>2000</v>
      </c>
      <c r="Q157" s="43"/>
      <c r="R157" s="44"/>
      <c r="S157" s="45"/>
      <c r="T157" s="41">
        <v>13.5</v>
      </c>
      <c r="U157" s="46">
        <f t="shared" ref="U157:U175" si="64">T157*P157</f>
        <v>27000</v>
      </c>
      <c r="V157" s="47">
        <v>5400</v>
      </c>
      <c r="W157" s="40">
        <f>V157+U157</f>
        <v>32400</v>
      </c>
      <c r="X157" s="41"/>
      <c r="Y157" s="37"/>
      <c r="Z157" s="41"/>
      <c r="AA157" s="41"/>
      <c r="AB157" s="41"/>
      <c r="AC157" s="41"/>
      <c r="AD157" s="90">
        <f>V157/P157</f>
        <v>2.7</v>
      </c>
      <c r="AE157" s="101">
        <f>T157+AD157</f>
        <v>16.2</v>
      </c>
      <c r="AF157" s="41">
        <v>0</v>
      </c>
      <c r="AG157" s="41"/>
    </row>
    <row r="158" spans="1:33" x14ac:dyDescent="0.25">
      <c r="A158" s="49" t="s">
        <v>31</v>
      </c>
      <c r="B158" s="76" t="s">
        <v>78</v>
      </c>
      <c r="C158" s="77">
        <v>45811</v>
      </c>
      <c r="D158" s="50" t="s">
        <v>234</v>
      </c>
      <c r="E158" s="76" t="s">
        <v>87</v>
      </c>
      <c r="F158" s="78">
        <v>100</v>
      </c>
      <c r="G158" s="77">
        <v>45813</v>
      </c>
      <c r="H158" s="79" t="s">
        <v>235</v>
      </c>
      <c r="I158" s="76" t="s">
        <v>87</v>
      </c>
      <c r="J158" s="80">
        <v>100</v>
      </c>
      <c r="K158" s="50">
        <v>9</v>
      </c>
      <c r="L158" s="81">
        <f t="shared" si="57"/>
        <v>900</v>
      </c>
      <c r="M158" s="82" t="s">
        <v>236</v>
      </c>
      <c r="N158" s="77">
        <v>45812</v>
      </c>
      <c r="O158" s="76" t="s">
        <v>87</v>
      </c>
      <c r="P158" s="83">
        <v>100</v>
      </c>
      <c r="Q158" s="84"/>
      <c r="R158" s="85"/>
      <c r="S158" s="86"/>
      <c r="T158" s="50">
        <v>9</v>
      </c>
      <c r="U158" s="87">
        <f t="shared" si="64"/>
        <v>900</v>
      </c>
      <c r="V158" s="88"/>
      <c r="W158" s="81"/>
      <c r="X158" s="82"/>
      <c r="Y158" s="78"/>
      <c r="Z158" s="82"/>
      <c r="AA158" s="82"/>
      <c r="AB158" s="82"/>
      <c r="AC158" s="82"/>
      <c r="AD158" s="89">
        <f t="shared" si="46"/>
        <v>0</v>
      </c>
      <c r="AE158" s="82">
        <f t="shared" si="62"/>
        <v>9</v>
      </c>
      <c r="AF158" s="82">
        <v>0</v>
      </c>
      <c r="AG158" s="82"/>
    </row>
    <row r="159" spans="1:33" x14ac:dyDescent="0.25">
      <c r="A159" s="49" t="s">
        <v>31</v>
      </c>
      <c r="B159" s="2" t="s">
        <v>78</v>
      </c>
      <c r="C159" s="3">
        <v>45811</v>
      </c>
      <c r="D159" s="6" t="s">
        <v>237</v>
      </c>
      <c r="E159" s="2" t="s">
        <v>83</v>
      </c>
      <c r="F159" s="51">
        <v>1000</v>
      </c>
      <c r="G159" s="3">
        <v>45813</v>
      </c>
      <c r="H159" s="4" t="s">
        <v>235</v>
      </c>
      <c r="I159" s="2" t="s">
        <v>83</v>
      </c>
      <c r="J159" s="52">
        <v>1000</v>
      </c>
      <c r="K159" s="6">
        <v>5</v>
      </c>
      <c r="L159" s="53">
        <f t="shared" si="57"/>
        <v>5000</v>
      </c>
      <c r="M159" s="1" t="s">
        <v>236</v>
      </c>
      <c r="N159" s="3">
        <v>45812</v>
      </c>
      <c r="O159" s="2" t="s">
        <v>83</v>
      </c>
      <c r="P159" s="9">
        <v>1000</v>
      </c>
      <c r="Q159" s="54"/>
      <c r="R159" s="55"/>
      <c r="S159" s="56"/>
      <c r="T159" s="6">
        <v>5</v>
      </c>
      <c r="U159" s="57">
        <f t="shared" si="64"/>
        <v>5000</v>
      </c>
      <c r="V159" s="58"/>
      <c r="AC159" s="1"/>
      <c r="AD159" s="74">
        <f t="shared" si="46"/>
        <v>0</v>
      </c>
      <c r="AE159" s="98">
        <f t="shared" si="62"/>
        <v>5</v>
      </c>
      <c r="AF159" s="1">
        <v>0</v>
      </c>
    </row>
    <row r="160" spans="1:33" x14ac:dyDescent="0.25">
      <c r="A160" s="49" t="s">
        <v>31</v>
      </c>
      <c r="B160" s="2" t="s">
        <v>78</v>
      </c>
      <c r="C160" s="3">
        <v>45811</v>
      </c>
      <c r="D160" s="6" t="s">
        <v>237</v>
      </c>
      <c r="E160" s="2" t="s">
        <v>85</v>
      </c>
      <c r="F160" s="51">
        <v>1000</v>
      </c>
      <c r="G160" s="3">
        <v>45813</v>
      </c>
      <c r="H160" s="4" t="s">
        <v>235</v>
      </c>
      <c r="I160" s="2" t="s">
        <v>85</v>
      </c>
      <c r="J160" s="52">
        <v>1000</v>
      </c>
      <c r="K160" s="6">
        <v>15</v>
      </c>
      <c r="L160" s="53">
        <f t="shared" si="57"/>
        <v>15000</v>
      </c>
      <c r="M160" s="1" t="s">
        <v>236</v>
      </c>
      <c r="N160" s="3">
        <v>45822</v>
      </c>
      <c r="O160" s="2" t="s">
        <v>85</v>
      </c>
      <c r="P160" s="9">
        <v>1000</v>
      </c>
      <c r="Q160" s="54"/>
      <c r="R160" s="55"/>
      <c r="S160" s="56"/>
      <c r="T160" s="6">
        <v>15</v>
      </c>
      <c r="U160" s="57">
        <f t="shared" si="64"/>
        <v>15000</v>
      </c>
      <c r="V160" s="58"/>
      <c r="AC160" s="1"/>
      <c r="AD160" s="59">
        <f t="shared" si="46"/>
        <v>0</v>
      </c>
      <c r="AE160" s="1">
        <f t="shared" si="62"/>
        <v>15</v>
      </c>
      <c r="AF160" s="1">
        <v>0</v>
      </c>
    </row>
    <row r="161" spans="1:33" x14ac:dyDescent="0.25">
      <c r="A161" s="49" t="s">
        <v>31</v>
      </c>
      <c r="B161" s="60" t="s">
        <v>78</v>
      </c>
      <c r="C161" s="61">
        <v>45811</v>
      </c>
      <c r="D161" s="65" t="s">
        <v>237</v>
      </c>
      <c r="E161" s="60" t="s">
        <v>80</v>
      </c>
      <c r="F161" s="62">
        <v>5400</v>
      </c>
      <c r="G161" s="61">
        <v>45813</v>
      </c>
      <c r="H161" s="63" t="s">
        <v>235</v>
      </c>
      <c r="I161" s="60" t="s">
        <v>80</v>
      </c>
      <c r="J161" s="64">
        <v>5400</v>
      </c>
      <c r="K161" s="65">
        <v>4</v>
      </c>
      <c r="L161" s="66">
        <f t="shared" si="57"/>
        <v>21600</v>
      </c>
      <c r="M161" s="67" t="s">
        <v>236</v>
      </c>
      <c r="N161" s="61">
        <v>45822</v>
      </c>
      <c r="O161" s="60" t="s">
        <v>80</v>
      </c>
      <c r="P161" s="31">
        <v>5400</v>
      </c>
      <c r="Q161" s="68"/>
      <c r="R161" s="69"/>
      <c r="S161" s="70"/>
      <c r="T161" s="65">
        <v>4</v>
      </c>
      <c r="U161" s="71">
        <f t="shared" si="64"/>
        <v>21600</v>
      </c>
      <c r="V161" s="72"/>
      <c r="W161" s="66"/>
      <c r="X161" s="67"/>
      <c r="Y161" s="62"/>
      <c r="Z161" s="67"/>
      <c r="AA161" s="67"/>
      <c r="AB161" s="67"/>
      <c r="AC161" s="67"/>
      <c r="AD161" s="73">
        <f t="shared" si="46"/>
        <v>0</v>
      </c>
      <c r="AE161" s="67">
        <f t="shared" si="62"/>
        <v>4</v>
      </c>
      <c r="AF161" s="67">
        <v>0</v>
      </c>
      <c r="AG161" s="67"/>
    </row>
    <row r="162" spans="1:33" x14ac:dyDescent="0.25">
      <c r="A162" s="49" t="s">
        <v>31</v>
      </c>
      <c r="B162" s="34" t="s">
        <v>238</v>
      </c>
      <c r="C162" s="35">
        <v>45811</v>
      </c>
      <c r="D162" s="36" t="s">
        <v>239</v>
      </c>
      <c r="E162" s="34" t="s">
        <v>240</v>
      </c>
      <c r="F162" s="37">
        <v>1000</v>
      </c>
      <c r="G162" s="35">
        <v>45813</v>
      </c>
      <c r="H162" s="38" t="s">
        <v>241</v>
      </c>
      <c r="I162" s="34" t="s">
        <v>240</v>
      </c>
      <c r="J162" s="39">
        <v>1000</v>
      </c>
      <c r="K162" s="36">
        <v>10.5</v>
      </c>
      <c r="L162" s="40">
        <f t="shared" si="57"/>
        <v>10500</v>
      </c>
      <c r="M162" s="41">
        <v>56020</v>
      </c>
      <c r="N162" s="35">
        <v>45812</v>
      </c>
      <c r="O162" s="34" t="s">
        <v>240</v>
      </c>
      <c r="P162" s="42">
        <v>1000</v>
      </c>
      <c r="Q162" s="43"/>
      <c r="R162" s="44"/>
      <c r="S162" s="45"/>
      <c r="T162" s="41">
        <v>10.5</v>
      </c>
      <c r="U162" s="46">
        <f t="shared" si="64"/>
        <v>10500</v>
      </c>
      <c r="V162" s="47"/>
      <c r="W162" s="40"/>
      <c r="X162" s="41"/>
      <c r="Y162" s="37"/>
      <c r="Z162" s="41"/>
      <c r="AA162" s="41"/>
      <c r="AB162" s="41"/>
      <c r="AC162" s="41"/>
      <c r="AD162" s="48">
        <f t="shared" si="46"/>
        <v>0</v>
      </c>
      <c r="AE162" s="41">
        <f t="shared" si="62"/>
        <v>10.5</v>
      </c>
      <c r="AF162" s="41">
        <v>0</v>
      </c>
      <c r="AG162" s="41"/>
    </row>
    <row r="163" spans="1:33" x14ac:dyDescent="0.25">
      <c r="A163" s="49" t="s">
        <v>31</v>
      </c>
      <c r="B163" s="34" t="s">
        <v>242</v>
      </c>
      <c r="C163" s="35">
        <v>45824</v>
      </c>
      <c r="D163" s="36" t="s">
        <v>243</v>
      </c>
      <c r="E163" s="34" t="s">
        <v>141</v>
      </c>
      <c r="F163" s="37">
        <v>1000</v>
      </c>
      <c r="G163" s="35">
        <v>45824</v>
      </c>
      <c r="H163" s="38" t="s">
        <v>244</v>
      </c>
      <c r="I163" s="34" t="s">
        <v>141</v>
      </c>
      <c r="J163" s="39">
        <v>1000</v>
      </c>
      <c r="K163" s="36">
        <v>3.55</v>
      </c>
      <c r="L163" s="40">
        <f t="shared" si="57"/>
        <v>3550</v>
      </c>
      <c r="M163" s="41">
        <v>20184024</v>
      </c>
      <c r="N163" s="35">
        <v>45824</v>
      </c>
      <c r="O163" s="34" t="s">
        <v>141</v>
      </c>
      <c r="P163" s="42">
        <v>1000</v>
      </c>
      <c r="Q163" s="43"/>
      <c r="R163" s="44"/>
      <c r="S163" s="45"/>
      <c r="T163" s="41">
        <v>3.55</v>
      </c>
      <c r="U163" s="46">
        <f t="shared" si="64"/>
        <v>3550</v>
      </c>
      <c r="V163" s="47"/>
      <c r="W163" s="40">
        <f>+V163+U163</f>
        <v>3550</v>
      </c>
      <c r="X163" s="41"/>
      <c r="Y163" s="37"/>
      <c r="Z163" s="41"/>
      <c r="AA163" s="41"/>
      <c r="AB163" s="41"/>
      <c r="AC163" s="41"/>
      <c r="AD163" s="48">
        <f t="shared" si="46"/>
        <v>0</v>
      </c>
      <c r="AE163" s="41">
        <f t="shared" si="62"/>
        <v>3.55</v>
      </c>
      <c r="AF163" s="41">
        <v>0</v>
      </c>
      <c r="AG163" s="41"/>
    </row>
    <row r="164" spans="1:33" x14ac:dyDescent="0.25">
      <c r="A164" s="49" t="s">
        <v>31</v>
      </c>
      <c r="B164" s="34" t="s">
        <v>70</v>
      </c>
      <c r="C164" s="35">
        <v>45838</v>
      </c>
      <c r="D164" s="36"/>
      <c r="E164" s="34" t="s">
        <v>72</v>
      </c>
      <c r="F164" s="37">
        <v>17000</v>
      </c>
      <c r="G164" s="35">
        <v>45831</v>
      </c>
      <c r="H164" s="38" t="s">
        <v>245</v>
      </c>
      <c r="I164" s="34" t="s">
        <v>72</v>
      </c>
      <c r="J164" s="39">
        <v>17000</v>
      </c>
      <c r="K164" s="36">
        <v>0.4</v>
      </c>
      <c r="L164" s="40">
        <f t="shared" si="57"/>
        <v>6800</v>
      </c>
      <c r="M164" s="41">
        <v>543</v>
      </c>
      <c r="N164" s="35">
        <v>45838</v>
      </c>
      <c r="O164" s="34" t="s">
        <v>72</v>
      </c>
      <c r="P164" s="42">
        <v>17000</v>
      </c>
      <c r="Q164" s="43"/>
      <c r="R164" s="44"/>
      <c r="S164" s="45"/>
      <c r="T164" s="41">
        <v>0.4</v>
      </c>
      <c r="U164" s="46">
        <f t="shared" si="64"/>
        <v>6800</v>
      </c>
      <c r="V164" s="47"/>
      <c r="W164" s="40">
        <f>+V164+U164</f>
        <v>6800</v>
      </c>
      <c r="X164" s="41"/>
      <c r="Y164" s="37"/>
      <c r="Z164" s="41"/>
      <c r="AA164" s="41"/>
      <c r="AB164" s="41"/>
      <c r="AC164" s="41"/>
      <c r="AD164" s="48">
        <f t="shared" si="46"/>
        <v>0</v>
      </c>
      <c r="AE164" s="41">
        <f t="shared" si="62"/>
        <v>0.4</v>
      </c>
      <c r="AF164" s="41"/>
    </row>
    <row r="165" spans="1:33" x14ac:dyDescent="0.25">
      <c r="A165" s="49" t="s">
        <v>31</v>
      </c>
      <c r="B165" s="76" t="s">
        <v>101</v>
      </c>
      <c r="C165" s="77">
        <v>45839</v>
      </c>
      <c r="D165" s="50" t="s">
        <v>246</v>
      </c>
      <c r="E165" s="76" t="s">
        <v>125</v>
      </c>
      <c r="F165" s="78">
        <v>2400</v>
      </c>
      <c r="G165" s="77">
        <v>45840</v>
      </c>
      <c r="H165" s="79" t="s">
        <v>247</v>
      </c>
      <c r="I165" s="76" t="s">
        <v>125</v>
      </c>
      <c r="J165" s="80">
        <v>2400</v>
      </c>
      <c r="K165" s="50">
        <v>10.5</v>
      </c>
      <c r="L165" s="81">
        <f t="shared" si="57"/>
        <v>25200</v>
      </c>
      <c r="M165" s="82" t="s">
        <v>248</v>
      </c>
      <c r="N165" s="77">
        <v>45839</v>
      </c>
      <c r="O165" s="76" t="s">
        <v>125</v>
      </c>
      <c r="P165" s="83">
        <v>2400</v>
      </c>
      <c r="Q165" s="84"/>
      <c r="R165" s="85"/>
      <c r="S165" s="86"/>
      <c r="T165" s="82">
        <v>10.5</v>
      </c>
      <c r="U165" s="87">
        <f t="shared" si="64"/>
        <v>25200</v>
      </c>
      <c r="V165" s="88"/>
      <c r="W165" s="81">
        <f>V165+U165</f>
        <v>25200</v>
      </c>
      <c r="X165" s="82"/>
      <c r="Y165" s="78"/>
      <c r="Z165" s="82"/>
      <c r="AA165" s="82"/>
      <c r="AB165" s="82"/>
      <c r="AC165" s="82"/>
      <c r="AD165" s="89">
        <f t="shared" si="46"/>
        <v>0</v>
      </c>
      <c r="AE165" s="82">
        <f t="shared" si="62"/>
        <v>10.5</v>
      </c>
      <c r="AF165" s="82">
        <v>0</v>
      </c>
    </row>
    <row r="166" spans="1:33" x14ac:dyDescent="0.25">
      <c r="A166" s="49" t="s">
        <v>31</v>
      </c>
      <c r="B166" s="60" t="s">
        <v>101</v>
      </c>
      <c r="C166" s="61">
        <v>45839</v>
      </c>
      <c r="D166" s="65" t="s">
        <v>246</v>
      </c>
      <c r="E166" s="60" t="s">
        <v>75</v>
      </c>
      <c r="F166" s="62">
        <v>12000</v>
      </c>
      <c r="G166" s="61">
        <v>45840</v>
      </c>
      <c r="H166" s="102" t="s">
        <v>247</v>
      </c>
      <c r="I166" s="60" t="s">
        <v>75</v>
      </c>
      <c r="J166" s="64">
        <v>12000</v>
      </c>
      <c r="K166" s="65">
        <v>12</v>
      </c>
      <c r="L166" s="66">
        <f t="shared" si="57"/>
        <v>144000</v>
      </c>
      <c r="M166" s="67" t="s">
        <v>248</v>
      </c>
      <c r="N166" s="61">
        <v>45839</v>
      </c>
      <c r="O166" s="60" t="s">
        <v>75</v>
      </c>
      <c r="P166" s="31">
        <v>12000</v>
      </c>
      <c r="Q166" s="68"/>
      <c r="R166" s="69"/>
      <c r="S166" s="70"/>
      <c r="T166" s="67">
        <v>12</v>
      </c>
      <c r="U166" s="71">
        <f t="shared" si="64"/>
        <v>144000</v>
      </c>
      <c r="V166" s="72"/>
      <c r="W166" s="66">
        <f>V166+U166</f>
        <v>144000</v>
      </c>
      <c r="X166" s="67"/>
      <c r="Y166" s="62"/>
      <c r="Z166" s="67"/>
      <c r="AA166" s="67"/>
      <c r="AB166" s="67"/>
      <c r="AC166" s="67"/>
      <c r="AD166" s="91">
        <f>V166/P166</f>
        <v>0</v>
      </c>
      <c r="AE166" s="103">
        <f>T166+AD166</f>
        <v>12</v>
      </c>
      <c r="AF166" s="67">
        <v>0</v>
      </c>
    </row>
    <row r="167" spans="1:33" x14ac:dyDescent="0.25">
      <c r="A167" s="49" t="s">
        <v>31</v>
      </c>
      <c r="B167" s="76" t="s">
        <v>249</v>
      </c>
      <c r="C167" s="77">
        <v>45828</v>
      </c>
      <c r="D167" s="50" t="s">
        <v>250</v>
      </c>
      <c r="E167" s="76" t="s">
        <v>251</v>
      </c>
      <c r="F167" s="78">
        <v>120</v>
      </c>
      <c r="G167" s="77">
        <v>45841</v>
      </c>
      <c r="H167" s="79" t="s">
        <v>252</v>
      </c>
      <c r="I167" s="76" t="s">
        <v>251</v>
      </c>
      <c r="J167" s="80">
        <v>120</v>
      </c>
      <c r="K167" s="50">
        <v>30</v>
      </c>
      <c r="L167" s="81">
        <f t="shared" si="57"/>
        <v>3600</v>
      </c>
      <c r="M167" s="82">
        <v>57015</v>
      </c>
      <c r="N167" s="77">
        <v>45839</v>
      </c>
      <c r="O167" s="76" t="s">
        <v>251</v>
      </c>
      <c r="P167" s="83">
        <v>120</v>
      </c>
      <c r="Q167" s="84"/>
      <c r="R167" s="85"/>
      <c r="S167" s="86"/>
      <c r="T167" s="82">
        <v>30</v>
      </c>
      <c r="U167" s="87">
        <f t="shared" si="64"/>
        <v>3600</v>
      </c>
      <c r="V167" s="88"/>
      <c r="W167" s="81"/>
      <c r="X167" s="82"/>
      <c r="Y167" s="78"/>
      <c r="Z167" s="82"/>
      <c r="AA167" s="82"/>
      <c r="AB167" s="82"/>
      <c r="AC167" s="82"/>
      <c r="AD167" s="89"/>
      <c r="AE167" s="82"/>
      <c r="AF167" s="82"/>
    </row>
    <row r="168" spans="1:33" x14ac:dyDescent="0.25">
      <c r="A168" s="49" t="s">
        <v>31</v>
      </c>
      <c r="B168" s="60" t="s">
        <v>249</v>
      </c>
      <c r="C168" s="61">
        <v>45828</v>
      </c>
      <c r="D168" s="65" t="s">
        <v>250</v>
      </c>
      <c r="E168" s="60" t="s">
        <v>240</v>
      </c>
      <c r="F168" s="62">
        <v>1200</v>
      </c>
      <c r="G168" s="61">
        <v>45841</v>
      </c>
      <c r="H168" s="63" t="s">
        <v>252</v>
      </c>
      <c r="I168" s="60" t="s">
        <v>240</v>
      </c>
      <c r="J168" s="64">
        <v>1200</v>
      </c>
      <c r="K168" s="65">
        <v>10.5</v>
      </c>
      <c r="L168" s="66">
        <f t="shared" si="57"/>
        <v>12600</v>
      </c>
      <c r="M168" s="67">
        <v>57015</v>
      </c>
      <c r="N168" s="61">
        <v>45839</v>
      </c>
      <c r="O168" s="60" t="s">
        <v>240</v>
      </c>
      <c r="P168" s="31">
        <v>1200</v>
      </c>
      <c r="Q168" s="68"/>
      <c r="R168" s="69"/>
      <c r="S168" s="70"/>
      <c r="T168" s="67">
        <v>10.5</v>
      </c>
      <c r="U168" s="71">
        <f t="shared" si="64"/>
        <v>12600</v>
      </c>
      <c r="V168" s="72"/>
      <c r="W168" s="66"/>
      <c r="X168" s="67"/>
      <c r="Y168" s="62"/>
      <c r="Z168" s="67"/>
      <c r="AA168" s="67"/>
      <c r="AB168" s="67"/>
      <c r="AC168" s="67"/>
      <c r="AD168" s="73"/>
      <c r="AE168" s="67"/>
      <c r="AF168" s="67"/>
    </row>
    <row r="169" spans="1:33" x14ac:dyDescent="0.25">
      <c r="A169" s="49" t="s">
        <v>31</v>
      </c>
      <c r="B169" s="76" t="s">
        <v>78</v>
      </c>
      <c r="C169" s="77">
        <v>45846</v>
      </c>
      <c r="D169" s="50" t="s">
        <v>253</v>
      </c>
      <c r="E169" s="76" t="s">
        <v>80</v>
      </c>
      <c r="F169" s="78">
        <v>1800</v>
      </c>
      <c r="G169" s="77">
        <v>45850</v>
      </c>
      <c r="H169" s="79" t="s">
        <v>254</v>
      </c>
      <c r="I169" s="76" t="s">
        <v>80</v>
      </c>
      <c r="J169" s="80">
        <v>1800</v>
      </c>
      <c r="K169" s="50">
        <v>4</v>
      </c>
      <c r="L169" s="81">
        <f t="shared" si="57"/>
        <v>7200</v>
      </c>
      <c r="M169" s="82" t="s">
        <v>255</v>
      </c>
      <c r="N169" s="77">
        <v>45849</v>
      </c>
      <c r="O169" s="76" t="s">
        <v>256</v>
      </c>
      <c r="P169" s="83">
        <v>1800</v>
      </c>
      <c r="Q169" s="84"/>
      <c r="R169" s="85"/>
      <c r="S169" s="86"/>
      <c r="T169" s="82">
        <v>4</v>
      </c>
      <c r="U169" s="87">
        <f t="shared" si="64"/>
        <v>7200</v>
      </c>
      <c r="V169" s="88"/>
      <c r="W169" s="81">
        <f t="shared" ref="W169:W175" si="65">V169+U169</f>
        <v>7200</v>
      </c>
      <c r="X169" s="82"/>
      <c r="Y169" s="78"/>
      <c r="Z169" s="82"/>
      <c r="AA169" s="82"/>
      <c r="AB169" s="82"/>
      <c r="AC169" s="82"/>
      <c r="AD169" s="89">
        <f t="shared" ref="AD169:AD232" si="66">V169/P169</f>
        <v>0</v>
      </c>
      <c r="AE169" s="82">
        <f t="shared" ref="AE169:AE232" si="67">T169+AD169</f>
        <v>4</v>
      </c>
      <c r="AF169" s="82">
        <v>0</v>
      </c>
    </row>
    <row r="170" spans="1:33" x14ac:dyDescent="0.25">
      <c r="A170" s="49" t="s">
        <v>31</v>
      </c>
      <c r="B170" s="2" t="s">
        <v>78</v>
      </c>
      <c r="C170" s="3">
        <v>45846</v>
      </c>
      <c r="D170" s="6" t="s">
        <v>253</v>
      </c>
      <c r="E170" s="2" t="s">
        <v>84</v>
      </c>
      <c r="F170" s="51">
        <v>1000</v>
      </c>
      <c r="G170" s="3">
        <v>45850</v>
      </c>
      <c r="H170" s="4" t="s">
        <v>254</v>
      </c>
      <c r="I170" s="2" t="s">
        <v>84</v>
      </c>
      <c r="J170" s="52">
        <v>1000</v>
      </c>
      <c r="K170" s="6">
        <v>4.3</v>
      </c>
      <c r="L170" s="53">
        <f t="shared" si="57"/>
        <v>4300</v>
      </c>
      <c r="M170" s="1" t="s">
        <v>255</v>
      </c>
      <c r="N170" s="3">
        <v>45849</v>
      </c>
      <c r="O170" s="2" t="s">
        <v>84</v>
      </c>
      <c r="P170" s="9">
        <v>1000</v>
      </c>
      <c r="Q170" s="54"/>
      <c r="R170" s="55"/>
      <c r="S170" s="56"/>
      <c r="T170" s="1">
        <v>4.3</v>
      </c>
      <c r="U170" s="57">
        <f t="shared" si="64"/>
        <v>4300</v>
      </c>
      <c r="V170" s="58"/>
      <c r="W170" s="53">
        <f t="shared" si="65"/>
        <v>4300</v>
      </c>
      <c r="AC170" s="1"/>
      <c r="AD170" s="59">
        <f t="shared" si="66"/>
        <v>0</v>
      </c>
      <c r="AE170" s="1">
        <f t="shared" si="67"/>
        <v>4.3</v>
      </c>
      <c r="AF170" s="1">
        <v>0</v>
      </c>
    </row>
    <row r="171" spans="1:33" x14ac:dyDescent="0.25">
      <c r="A171" s="49" t="s">
        <v>31</v>
      </c>
      <c r="B171" s="2" t="s">
        <v>78</v>
      </c>
      <c r="C171" s="3">
        <v>45846</v>
      </c>
      <c r="D171" s="6" t="s">
        <v>253</v>
      </c>
      <c r="E171" s="2" t="s">
        <v>83</v>
      </c>
      <c r="F171" s="51">
        <v>1000</v>
      </c>
      <c r="G171" s="3">
        <v>45850</v>
      </c>
      <c r="H171" s="4" t="s">
        <v>254</v>
      </c>
      <c r="I171" s="2" t="s">
        <v>83</v>
      </c>
      <c r="J171" s="52">
        <v>1000</v>
      </c>
      <c r="K171" s="6">
        <v>5</v>
      </c>
      <c r="L171" s="53">
        <f t="shared" si="57"/>
        <v>5000</v>
      </c>
      <c r="M171" s="1" t="s">
        <v>255</v>
      </c>
      <c r="N171" s="3">
        <v>45849</v>
      </c>
      <c r="O171" s="2" t="s">
        <v>83</v>
      </c>
      <c r="P171" s="9">
        <v>1000</v>
      </c>
      <c r="Q171" s="54"/>
      <c r="R171" s="55"/>
      <c r="S171" s="56"/>
      <c r="T171" s="1">
        <v>5</v>
      </c>
      <c r="U171" s="57">
        <f t="shared" si="64"/>
        <v>5000</v>
      </c>
      <c r="V171" s="58"/>
      <c r="W171" s="53">
        <f t="shared" si="65"/>
        <v>5000</v>
      </c>
      <c r="AC171" s="1"/>
      <c r="AD171" s="74">
        <f>V171/P171</f>
        <v>0</v>
      </c>
      <c r="AE171" s="98">
        <f>T171+AD171</f>
        <v>5</v>
      </c>
      <c r="AF171" s="1">
        <v>0</v>
      </c>
    </row>
    <row r="172" spans="1:33" x14ac:dyDescent="0.25">
      <c r="A172" s="49" t="s">
        <v>31</v>
      </c>
      <c r="B172" s="2" t="s">
        <v>78</v>
      </c>
      <c r="C172" s="3">
        <v>45846</v>
      </c>
      <c r="D172" s="6" t="s">
        <v>253</v>
      </c>
      <c r="E172" s="2" t="s">
        <v>86</v>
      </c>
      <c r="F172" s="51">
        <v>500</v>
      </c>
      <c r="G172" s="3">
        <v>45850</v>
      </c>
      <c r="H172" s="4" t="s">
        <v>254</v>
      </c>
      <c r="I172" s="2" t="s">
        <v>86</v>
      </c>
      <c r="J172" s="52">
        <v>500</v>
      </c>
      <c r="K172" s="6">
        <v>9</v>
      </c>
      <c r="L172" s="53">
        <f t="shared" si="57"/>
        <v>4500</v>
      </c>
      <c r="M172" s="1" t="s">
        <v>255</v>
      </c>
      <c r="N172" s="3">
        <v>45849</v>
      </c>
      <c r="O172" s="2" t="s">
        <v>86</v>
      </c>
      <c r="P172" s="9">
        <v>500</v>
      </c>
      <c r="Q172" s="54"/>
      <c r="R172" s="55"/>
      <c r="S172" s="56"/>
      <c r="T172" s="1">
        <v>9</v>
      </c>
      <c r="U172" s="57">
        <f t="shared" si="64"/>
        <v>4500</v>
      </c>
      <c r="V172" s="58"/>
      <c r="W172" s="53">
        <f t="shared" si="65"/>
        <v>4500</v>
      </c>
      <c r="AC172" s="1"/>
      <c r="AD172" s="74">
        <f>V172/P172</f>
        <v>0</v>
      </c>
      <c r="AE172" s="98">
        <f>T172+AD172</f>
        <v>9</v>
      </c>
      <c r="AF172" s="1">
        <v>0</v>
      </c>
    </row>
    <row r="173" spans="1:33" x14ac:dyDescent="0.25">
      <c r="A173" s="49" t="s">
        <v>31</v>
      </c>
      <c r="B173" s="60" t="s">
        <v>78</v>
      </c>
      <c r="C173" s="61">
        <v>45846</v>
      </c>
      <c r="D173" s="65" t="s">
        <v>253</v>
      </c>
      <c r="E173" s="60" t="s">
        <v>85</v>
      </c>
      <c r="F173" s="62">
        <v>500</v>
      </c>
      <c r="G173" s="61">
        <v>45850</v>
      </c>
      <c r="H173" s="63" t="s">
        <v>254</v>
      </c>
      <c r="I173" s="60" t="s">
        <v>85</v>
      </c>
      <c r="J173" s="64">
        <v>500</v>
      </c>
      <c r="K173" s="65">
        <v>15</v>
      </c>
      <c r="L173" s="66">
        <f t="shared" si="57"/>
        <v>7500</v>
      </c>
      <c r="M173" s="67" t="s">
        <v>255</v>
      </c>
      <c r="N173" s="61">
        <v>45849</v>
      </c>
      <c r="O173" s="60" t="s">
        <v>85</v>
      </c>
      <c r="P173" s="31">
        <v>500</v>
      </c>
      <c r="Q173" s="68"/>
      <c r="R173" s="69"/>
      <c r="S173" s="70"/>
      <c r="T173" s="67">
        <v>15</v>
      </c>
      <c r="U173" s="71">
        <f t="shared" si="64"/>
        <v>7500</v>
      </c>
      <c r="V173" s="72"/>
      <c r="W173" s="66">
        <f t="shared" si="65"/>
        <v>7500</v>
      </c>
      <c r="X173" s="67"/>
      <c r="Y173" s="62"/>
      <c r="Z173" s="67"/>
      <c r="AA173" s="67"/>
      <c r="AB173" s="67"/>
      <c r="AC173" s="67"/>
      <c r="AD173" s="73">
        <f t="shared" si="66"/>
        <v>0</v>
      </c>
      <c r="AE173" s="67">
        <f t="shared" si="67"/>
        <v>15</v>
      </c>
      <c r="AF173" s="67">
        <v>0</v>
      </c>
    </row>
    <row r="174" spans="1:33" x14ac:dyDescent="0.25">
      <c r="A174" s="49" t="s">
        <v>31</v>
      </c>
      <c r="B174" s="76" t="s">
        <v>249</v>
      </c>
      <c r="C174" s="77">
        <v>45848</v>
      </c>
      <c r="D174" s="50" t="s">
        <v>257</v>
      </c>
      <c r="E174" s="76" t="s">
        <v>258</v>
      </c>
      <c r="F174" s="78">
        <v>240</v>
      </c>
      <c r="G174" s="77">
        <v>45850</v>
      </c>
      <c r="H174" s="79" t="s">
        <v>259</v>
      </c>
      <c r="I174" s="76" t="s">
        <v>258</v>
      </c>
      <c r="J174" s="80">
        <v>240</v>
      </c>
      <c r="K174" s="50">
        <v>32</v>
      </c>
      <c r="L174" s="81">
        <f t="shared" si="57"/>
        <v>7680</v>
      </c>
      <c r="M174" s="82">
        <v>57085</v>
      </c>
      <c r="N174" s="77">
        <v>45849</v>
      </c>
      <c r="O174" s="76" t="s">
        <v>258</v>
      </c>
      <c r="P174" s="83">
        <v>240</v>
      </c>
      <c r="Q174" s="84"/>
      <c r="R174" s="85"/>
      <c r="S174" s="86"/>
      <c r="T174" s="82">
        <v>32</v>
      </c>
      <c r="U174" s="87">
        <f t="shared" si="64"/>
        <v>7680</v>
      </c>
      <c r="V174" s="88"/>
      <c r="W174" s="81">
        <f t="shared" si="65"/>
        <v>7680</v>
      </c>
      <c r="X174" s="82"/>
      <c r="Y174" s="78"/>
      <c r="Z174" s="82"/>
      <c r="AA174" s="82"/>
      <c r="AB174" s="82"/>
      <c r="AC174" s="82"/>
      <c r="AD174" s="89">
        <f t="shared" si="66"/>
        <v>0</v>
      </c>
      <c r="AE174" s="82">
        <f t="shared" si="67"/>
        <v>32</v>
      </c>
      <c r="AF174" s="82">
        <v>0</v>
      </c>
    </row>
    <row r="175" spans="1:33" x14ac:dyDescent="0.25">
      <c r="A175" s="49" t="s">
        <v>31</v>
      </c>
      <c r="B175" s="60" t="s">
        <v>249</v>
      </c>
      <c r="C175" s="61">
        <v>45848</v>
      </c>
      <c r="D175" s="65" t="s">
        <v>257</v>
      </c>
      <c r="E175" s="60" t="s">
        <v>260</v>
      </c>
      <c r="F175" s="62">
        <v>390</v>
      </c>
      <c r="G175" s="61">
        <v>45850</v>
      </c>
      <c r="H175" s="63" t="s">
        <v>259</v>
      </c>
      <c r="I175" s="60" t="s">
        <v>260</v>
      </c>
      <c r="J175" s="64">
        <v>390</v>
      </c>
      <c r="K175" s="65">
        <v>24</v>
      </c>
      <c r="L175" s="66">
        <f t="shared" si="57"/>
        <v>9360</v>
      </c>
      <c r="M175" s="67">
        <v>57085</v>
      </c>
      <c r="N175" s="61">
        <v>45849</v>
      </c>
      <c r="O175" s="60" t="s">
        <v>260</v>
      </c>
      <c r="P175" s="31">
        <v>390</v>
      </c>
      <c r="Q175" s="68"/>
      <c r="R175" s="69"/>
      <c r="S175" s="70"/>
      <c r="T175" s="67">
        <v>24</v>
      </c>
      <c r="U175" s="71">
        <f t="shared" si="64"/>
        <v>9360</v>
      </c>
      <c r="V175" s="72"/>
      <c r="W175" s="66">
        <f t="shared" si="65"/>
        <v>9360</v>
      </c>
      <c r="X175" s="67"/>
      <c r="Y175" s="62"/>
      <c r="Z175" s="67"/>
      <c r="AA175" s="67"/>
      <c r="AB175" s="67"/>
      <c r="AC175" s="67"/>
      <c r="AD175" s="73">
        <f t="shared" si="66"/>
        <v>0</v>
      </c>
      <c r="AE175" s="67">
        <f t="shared" si="67"/>
        <v>24</v>
      </c>
      <c r="AF175" s="67">
        <v>0</v>
      </c>
    </row>
    <row r="176" spans="1:33" x14ac:dyDescent="0.25">
      <c r="A176" s="49" t="s">
        <v>31</v>
      </c>
      <c r="B176" s="34" t="s">
        <v>93</v>
      </c>
      <c r="C176" s="35">
        <v>45846</v>
      </c>
      <c r="D176" s="36" t="s">
        <v>261</v>
      </c>
      <c r="E176" s="34" t="s">
        <v>95</v>
      </c>
      <c r="F176" s="37">
        <v>16000</v>
      </c>
      <c r="G176" s="35">
        <v>45849</v>
      </c>
      <c r="H176" s="38" t="s">
        <v>262</v>
      </c>
      <c r="I176" s="34" t="s">
        <v>95</v>
      </c>
      <c r="J176" s="39">
        <v>16000</v>
      </c>
      <c r="K176" s="36">
        <v>1.4650000000000001</v>
      </c>
      <c r="L176" s="40">
        <f t="shared" si="57"/>
        <v>23440</v>
      </c>
      <c r="M176" s="41" t="s">
        <v>263</v>
      </c>
      <c r="N176" s="35">
        <v>45896</v>
      </c>
      <c r="O176" s="34" t="s">
        <v>98</v>
      </c>
      <c r="P176" s="42">
        <v>16000</v>
      </c>
      <c r="Q176" s="43"/>
      <c r="R176" s="44"/>
      <c r="S176" s="45"/>
      <c r="T176" s="41">
        <v>1.4650000000000001</v>
      </c>
      <c r="U176" s="46">
        <f>+T176*P176</f>
        <v>23440</v>
      </c>
      <c r="V176" s="47">
        <v>4688</v>
      </c>
      <c r="W176" s="40">
        <f>+V176+U176</f>
        <v>28128</v>
      </c>
      <c r="X176" s="41"/>
      <c r="Y176" s="37"/>
      <c r="Z176" s="41"/>
      <c r="AA176" s="41"/>
      <c r="AB176" s="41"/>
      <c r="AC176" s="41"/>
      <c r="AD176" s="48">
        <f t="shared" si="66"/>
        <v>0.29299999999999998</v>
      </c>
      <c r="AE176" s="41">
        <f t="shared" si="67"/>
        <v>1.758</v>
      </c>
      <c r="AF176" s="41">
        <v>0</v>
      </c>
    </row>
    <row r="177" spans="1:32" x14ac:dyDescent="0.25">
      <c r="A177" s="49" t="s">
        <v>31</v>
      </c>
      <c r="B177" s="34" t="s">
        <v>264</v>
      </c>
      <c r="C177" s="35">
        <v>45852</v>
      </c>
      <c r="D177" s="36" t="s">
        <v>265</v>
      </c>
      <c r="E177" s="34" t="s">
        <v>266</v>
      </c>
      <c r="F177" s="37">
        <v>450</v>
      </c>
      <c r="G177" s="35">
        <v>45852</v>
      </c>
      <c r="H177" s="38" t="s">
        <v>267</v>
      </c>
      <c r="I177" s="34" t="s">
        <v>266</v>
      </c>
      <c r="J177" s="39">
        <v>450</v>
      </c>
      <c r="K177" s="36">
        <v>19.5</v>
      </c>
      <c r="L177" s="40">
        <f t="shared" si="57"/>
        <v>8775</v>
      </c>
      <c r="M177" s="41"/>
      <c r="N177" s="35"/>
      <c r="O177" s="34"/>
      <c r="P177" s="42"/>
      <c r="Q177" s="43"/>
      <c r="R177" s="44"/>
      <c r="S177" s="45"/>
      <c r="T177" s="41"/>
      <c r="U177" s="46"/>
      <c r="V177" s="47"/>
      <c r="W177" s="40"/>
      <c r="X177" s="41"/>
      <c r="Y177" s="37"/>
      <c r="Z177" s="41"/>
      <c r="AA177" s="41"/>
      <c r="AB177" s="41"/>
      <c r="AC177" s="41"/>
      <c r="AD177" s="48" t="e">
        <f t="shared" si="66"/>
        <v>#DIV/0!</v>
      </c>
      <c r="AE177" s="41" t="e">
        <f t="shared" si="67"/>
        <v>#DIV/0!</v>
      </c>
      <c r="AF177" s="41">
        <v>0</v>
      </c>
    </row>
    <row r="178" spans="1:32" x14ac:dyDescent="0.25">
      <c r="A178" s="49" t="s">
        <v>31</v>
      </c>
      <c r="B178" s="34" t="s">
        <v>249</v>
      </c>
      <c r="C178" s="35">
        <v>45852</v>
      </c>
      <c r="D178" s="36" t="s">
        <v>268</v>
      </c>
      <c r="E178" s="34" t="s">
        <v>269</v>
      </c>
      <c r="F178" s="37">
        <v>600</v>
      </c>
      <c r="G178" s="35">
        <v>45857</v>
      </c>
      <c r="H178" s="38" t="s">
        <v>270</v>
      </c>
      <c r="I178" s="34" t="s">
        <v>269</v>
      </c>
      <c r="J178" s="39">
        <v>600</v>
      </c>
      <c r="K178" s="36">
        <v>19.5</v>
      </c>
      <c r="L178" s="40">
        <f>+K178*J178</f>
        <v>11700</v>
      </c>
      <c r="M178" s="41">
        <v>57139</v>
      </c>
      <c r="N178" s="35">
        <v>45856</v>
      </c>
      <c r="O178" s="34" t="s">
        <v>269</v>
      </c>
      <c r="P178" s="42">
        <v>600</v>
      </c>
      <c r="Q178" s="43"/>
      <c r="R178" s="44"/>
      <c r="S178" s="45"/>
      <c r="T178" s="41">
        <v>19.5</v>
      </c>
      <c r="U178" s="46">
        <f>T178*P178</f>
        <v>11700</v>
      </c>
      <c r="V178" s="47"/>
      <c r="W178" s="40">
        <f>14040</f>
        <v>14040</v>
      </c>
      <c r="X178" s="41"/>
      <c r="Y178" s="37"/>
      <c r="Z178" s="41"/>
      <c r="AA178" s="41"/>
      <c r="AB178" s="41"/>
      <c r="AC178" s="41"/>
      <c r="AD178" s="48">
        <f t="shared" si="66"/>
        <v>0</v>
      </c>
      <c r="AE178" s="41">
        <f t="shared" si="67"/>
        <v>19.5</v>
      </c>
      <c r="AF178" s="41">
        <v>0</v>
      </c>
    </row>
    <row r="179" spans="1:32" x14ac:dyDescent="0.25">
      <c r="A179" s="49" t="s">
        <v>31</v>
      </c>
      <c r="B179" s="34" t="s">
        <v>101</v>
      </c>
      <c r="C179" s="35">
        <v>45846</v>
      </c>
      <c r="D179" s="36" t="s">
        <v>271</v>
      </c>
      <c r="E179" s="34" t="s">
        <v>272</v>
      </c>
      <c r="F179" s="37">
        <v>1000</v>
      </c>
      <c r="G179" s="35">
        <v>45857</v>
      </c>
      <c r="H179" s="38" t="s">
        <v>273</v>
      </c>
      <c r="I179" s="34" t="s">
        <v>272</v>
      </c>
      <c r="J179" s="39">
        <v>1000</v>
      </c>
      <c r="K179" s="36">
        <v>13.5</v>
      </c>
      <c r="L179" s="40">
        <f>+K179*J179</f>
        <v>13500</v>
      </c>
      <c r="M179" s="41" t="s">
        <v>274</v>
      </c>
      <c r="N179" s="35">
        <v>45852</v>
      </c>
      <c r="O179" s="34" t="s">
        <v>272</v>
      </c>
      <c r="P179" s="39">
        <v>1000</v>
      </c>
      <c r="Q179" s="43"/>
      <c r="R179" s="44"/>
      <c r="S179" s="45"/>
      <c r="T179" s="41">
        <v>13.5</v>
      </c>
      <c r="U179" s="46">
        <f>+T179*P179</f>
        <v>13500</v>
      </c>
      <c r="V179" s="47"/>
      <c r="W179" s="40">
        <v>16200</v>
      </c>
      <c r="X179" s="41"/>
      <c r="Y179" s="37"/>
      <c r="Z179" s="41"/>
      <c r="AA179" s="41"/>
      <c r="AB179" s="41"/>
      <c r="AC179" s="41"/>
      <c r="AD179" s="90">
        <f>V179/P179</f>
        <v>0</v>
      </c>
      <c r="AE179" s="101">
        <f>T179+AD179</f>
        <v>13.5</v>
      </c>
      <c r="AF179" s="41">
        <v>0</v>
      </c>
    </row>
    <row r="180" spans="1:32" x14ac:dyDescent="0.25">
      <c r="A180" s="49" t="s">
        <v>31</v>
      </c>
      <c r="B180" s="2" t="s">
        <v>78</v>
      </c>
      <c r="C180" s="3">
        <v>45880</v>
      </c>
      <c r="D180" s="6" t="s">
        <v>275</v>
      </c>
      <c r="E180" s="2" t="s">
        <v>83</v>
      </c>
      <c r="F180" s="51">
        <v>1000</v>
      </c>
      <c r="G180" s="3">
        <v>45881</v>
      </c>
      <c r="H180" s="4" t="s">
        <v>276</v>
      </c>
      <c r="I180" s="2" t="s">
        <v>83</v>
      </c>
      <c r="J180" s="52">
        <v>1000</v>
      </c>
      <c r="K180" s="6">
        <v>5</v>
      </c>
      <c r="L180" s="53">
        <f t="shared" ref="L180:L208" si="68">K180*J180</f>
        <v>5000</v>
      </c>
      <c r="M180" s="1" t="s">
        <v>277</v>
      </c>
      <c r="N180" s="3">
        <v>45880</v>
      </c>
      <c r="O180" s="2" t="s">
        <v>83</v>
      </c>
      <c r="P180" s="9">
        <v>1000</v>
      </c>
      <c r="Q180" s="54"/>
      <c r="R180" s="55"/>
      <c r="S180" s="56"/>
      <c r="T180" s="1">
        <v>5</v>
      </c>
      <c r="U180" s="57">
        <f t="shared" ref="U180:U186" si="69">T180*P180</f>
        <v>5000</v>
      </c>
      <c r="V180" s="58"/>
      <c r="W180" s="53">
        <f t="shared" ref="W180:W186" si="70">V180+U180</f>
        <v>5000</v>
      </c>
      <c r="AC180" s="1"/>
      <c r="AD180" s="59">
        <f t="shared" si="66"/>
        <v>0</v>
      </c>
      <c r="AE180" s="1">
        <f t="shared" si="67"/>
        <v>5</v>
      </c>
      <c r="AF180" s="1">
        <v>0</v>
      </c>
    </row>
    <row r="181" spans="1:32" x14ac:dyDescent="0.25">
      <c r="A181" s="49" t="s">
        <v>31</v>
      </c>
      <c r="B181" s="2" t="s">
        <v>78</v>
      </c>
      <c r="C181" s="3">
        <v>45880</v>
      </c>
      <c r="D181" s="6" t="s">
        <v>275</v>
      </c>
      <c r="E181" s="2" t="s">
        <v>84</v>
      </c>
      <c r="F181" s="51">
        <v>600</v>
      </c>
      <c r="G181" s="3">
        <v>45881</v>
      </c>
      <c r="H181" s="4" t="s">
        <v>276</v>
      </c>
      <c r="I181" s="2" t="s">
        <v>84</v>
      </c>
      <c r="J181" s="52">
        <v>600</v>
      </c>
      <c r="K181" s="6">
        <v>4.3</v>
      </c>
      <c r="L181" s="53">
        <f t="shared" si="68"/>
        <v>2580</v>
      </c>
      <c r="M181" s="1" t="s">
        <v>277</v>
      </c>
      <c r="N181" s="3">
        <v>45880</v>
      </c>
      <c r="O181" s="2" t="s">
        <v>84</v>
      </c>
      <c r="P181" s="9">
        <v>600</v>
      </c>
      <c r="Q181" s="54"/>
      <c r="R181" s="55"/>
      <c r="S181" s="56"/>
      <c r="T181" s="1">
        <v>4.3</v>
      </c>
      <c r="U181" s="57">
        <f t="shared" si="69"/>
        <v>2580</v>
      </c>
      <c r="V181" s="58"/>
      <c r="W181" s="53">
        <f t="shared" si="70"/>
        <v>2580</v>
      </c>
      <c r="AC181" s="1"/>
      <c r="AD181" s="59">
        <f t="shared" si="66"/>
        <v>0</v>
      </c>
      <c r="AE181" s="1">
        <f t="shared" si="67"/>
        <v>4.3</v>
      </c>
      <c r="AF181" s="1">
        <v>0</v>
      </c>
    </row>
    <row r="182" spans="1:32" x14ac:dyDescent="0.25">
      <c r="A182" s="49" t="s">
        <v>31</v>
      </c>
      <c r="B182" s="2" t="s">
        <v>78</v>
      </c>
      <c r="C182" s="3">
        <v>45880</v>
      </c>
      <c r="D182" s="6" t="s">
        <v>275</v>
      </c>
      <c r="E182" s="2" t="s">
        <v>85</v>
      </c>
      <c r="F182" s="51">
        <v>2000</v>
      </c>
      <c r="G182" s="3">
        <v>45881</v>
      </c>
      <c r="H182" s="4" t="s">
        <v>276</v>
      </c>
      <c r="I182" s="2" t="s">
        <v>85</v>
      </c>
      <c r="J182" s="52">
        <v>2000</v>
      </c>
      <c r="K182" s="6">
        <v>15</v>
      </c>
      <c r="L182" s="53">
        <f t="shared" si="68"/>
        <v>30000</v>
      </c>
      <c r="M182" s="1" t="s">
        <v>277</v>
      </c>
      <c r="N182" s="3">
        <v>45880</v>
      </c>
      <c r="O182" s="2" t="s">
        <v>85</v>
      </c>
      <c r="P182" s="9">
        <v>2000</v>
      </c>
      <c r="Q182" s="54"/>
      <c r="R182" s="55"/>
      <c r="S182" s="56"/>
      <c r="T182" s="1">
        <v>15</v>
      </c>
      <c r="U182" s="57">
        <f t="shared" si="69"/>
        <v>30000</v>
      </c>
      <c r="V182" s="58"/>
      <c r="W182" s="53">
        <f t="shared" si="70"/>
        <v>30000</v>
      </c>
      <c r="AC182" s="1"/>
      <c r="AD182" s="74">
        <f>V182/P182</f>
        <v>0</v>
      </c>
      <c r="AE182" s="1">
        <f t="shared" si="67"/>
        <v>15</v>
      </c>
      <c r="AF182" s="1">
        <v>0</v>
      </c>
    </row>
    <row r="183" spans="1:32" x14ac:dyDescent="0.25">
      <c r="A183" s="49" t="s">
        <v>31</v>
      </c>
      <c r="B183" s="2" t="s">
        <v>78</v>
      </c>
      <c r="C183" s="3">
        <v>45880</v>
      </c>
      <c r="D183" s="6" t="s">
        <v>275</v>
      </c>
      <c r="E183" s="2" t="s">
        <v>80</v>
      </c>
      <c r="F183" s="51">
        <v>3600</v>
      </c>
      <c r="G183" s="3">
        <v>45881</v>
      </c>
      <c r="H183" s="4" t="s">
        <v>276</v>
      </c>
      <c r="I183" s="2" t="s">
        <v>80</v>
      </c>
      <c r="J183" s="52">
        <v>3600</v>
      </c>
      <c r="K183" s="6">
        <v>4</v>
      </c>
      <c r="L183" s="53">
        <f t="shared" si="68"/>
        <v>14400</v>
      </c>
      <c r="M183" s="1" t="s">
        <v>277</v>
      </c>
      <c r="N183" s="3">
        <v>45880</v>
      </c>
      <c r="O183" s="2" t="s">
        <v>80</v>
      </c>
      <c r="P183" s="9">
        <v>3600</v>
      </c>
      <c r="Q183" s="54"/>
      <c r="R183" s="55"/>
      <c r="S183" s="56"/>
      <c r="T183" s="1">
        <v>4</v>
      </c>
      <c r="U183" s="57">
        <f t="shared" si="69"/>
        <v>14400</v>
      </c>
      <c r="V183" s="58"/>
      <c r="W183" s="53">
        <f t="shared" si="70"/>
        <v>14400</v>
      </c>
      <c r="AC183" s="1"/>
      <c r="AD183" s="59">
        <f t="shared" si="66"/>
        <v>0</v>
      </c>
      <c r="AE183" s="1">
        <f>T183+AD183</f>
        <v>4</v>
      </c>
      <c r="AF183" s="1">
        <v>0</v>
      </c>
    </row>
    <row r="184" spans="1:32" x14ac:dyDescent="0.25">
      <c r="A184" s="49" t="s">
        <v>31</v>
      </c>
      <c r="B184" s="2" t="s">
        <v>78</v>
      </c>
      <c r="C184" s="3">
        <v>45880</v>
      </c>
      <c r="D184" s="6" t="s">
        <v>275</v>
      </c>
      <c r="E184" s="2" t="s">
        <v>86</v>
      </c>
      <c r="F184" s="51">
        <v>1000</v>
      </c>
      <c r="G184" s="3">
        <v>45881</v>
      </c>
      <c r="H184" s="4" t="s">
        <v>276</v>
      </c>
      <c r="I184" s="2" t="s">
        <v>86</v>
      </c>
      <c r="J184" s="52">
        <v>1000</v>
      </c>
      <c r="K184" s="6">
        <v>9</v>
      </c>
      <c r="L184" s="53">
        <f t="shared" si="68"/>
        <v>9000</v>
      </c>
      <c r="M184" s="1" t="s">
        <v>277</v>
      </c>
      <c r="N184" s="3">
        <v>45880</v>
      </c>
      <c r="O184" s="2" t="s">
        <v>86</v>
      </c>
      <c r="P184" s="9">
        <v>1000</v>
      </c>
      <c r="Q184" s="54"/>
      <c r="R184" s="55"/>
      <c r="S184" s="56"/>
      <c r="T184" s="1">
        <v>9</v>
      </c>
      <c r="U184" s="57">
        <f t="shared" si="69"/>
        <v>9000</v>
      </c>
      <c r="V184" s="58"/>
      <c r="W184" s="53">
        <f t="shared" si="70"/>
        <v>9000</v>
      </c>
      <c r="AC184" s="1"/>
      <c r="AD184" s="59">
        <f t="shared" si="66"/>
        <v>0</v>
      </c>
      <c r="AE184" s="1">
        <f t="shared" si="67"/>
        <v>9</v>
      </c>
      <c r="AF184" s="1">
        <v>0</v>
      </c>
    </row>
    <row r="185" spans="1:32" x14ac:dyDescent="0.25">
      <c r="A185" s="49" t="s">
        <v>31</v>
      </c>
      <c r="B185" s="60" t="s">
        <v>78</v>
      </c>
      <c r="C185" s="61">
        <v>45880</v>
      </c>
      <c r="D185" s="65" t="s">
        <v>275</v>
      </c>
      <c r="E185" s="60" t="s">
        <v>122</v>
      </c>
      <c r="F185" s="62">
        <v>1000</v>
      </c>
      <c r="G185" s="61">
        <v>45881</v>
      </c>
      <c r="H185" s="63" t="s">
        <v>276</v>
      </c>
      <c r="I185" s="60" t="s">
        <v>122</v>
      </c>
      <c r="J185" s="64">
        <v>1000</v>
      </c>
      <c r="K185" s="65">
        <v>6</v>
      </c>
      <c r="L185" s="66">
        <f t="shared" si="68"/>
        <v>6000</v>
      </c>
      <c r="M185" s="73" t="s">
        <v>277</v>
      </c>
      <c r="N185" s="61">
        <v>45880</v>
      </c>
      <c r="O185" s="60" t="s">
        <v>122</v>
      </c>
      <c r="P185" s="31">
        <v>1000</v>
      </c>
      <c r="Q185" s="68"/>
      <c r="R185" s="69"/>
      <c r="S185" s="70"/>
      <c r="T185" s="67">
        <v>6</v>
      </c>
      <c r="U185" s="71">
        <f t="shared" si="69"/>
        <v>6000</v>
      </c>
      <c r="V185" s="72"/>
      <c r="W185" s="66">
        <f t="shared" si="70"/>
        <v>6000</v>
      </c>
      <c r="X185" s="67"/>
      <c r="Y185" s="62"/>
      <c r="Z185" s="67"/>
      <c r="AA185" s="67"/>
      <c r="AB185" s="67"/>
      <c r="AC185" s="67"/>
      <c r="AD185" s="73">
        <f t="shared" si="66"/>
        <v>0</v>
      </c>
      <c r="AE185" s="67">
        <f t="shared" si="67"/>
        <v>6</v>
      </c>
      <c r="AF185" s="67">
        <v>0</v>
      </c>
    </row>
    <row r="186" spans="1:32" x14ac:dyDescent="0.25">
      <c r="A186" s="49" t="s">
        <v>31</v>
      </c>
      <c r="B186" s="34" t="s">
        <v>139</v>
      </c>
      <c r="C186" s="35">
        <v>45875</v>
      </c>
      <c r="D186" s="36" t="s">
        <v>278</v>
      </c>
      <c r="E186" s="34" t="s">
        <v>141</v>
      </c>
      <c r="F186" s="37">
        <v>2000</v>
      </c>
      <c r="G186" s="35">
        <v>45880</v>
      </c>
      <c r="H186" s="38" t="s">
        <v>279</v>
      </c>
      <c r="I186" s="34" t="s">
        <v>141</v>
      </c>
      <c r="J186" s="39">
        <v>2000</v>
      </c>
      <c r="K186" s="36">
        <v>3.55</v>
      </c>
      <c r="L186" s="40">
        <f t="shared" si="68"/>
        <v>7100</v>
      </c>
      <c r="M186" s="41" t="s">
        <v>280</v>
      </c>
      <c r="N186" s="35">
        <v>45875</v>
      </c>
      <c r="O186" s="34" t="s">
        <v>141</v>
      </c>
      <c r="P186" s="42">
        <v>2000</v>
      </c>
      <c r="Q186" s="43"/>
      <c r="R186" s="44"/>
      <c r="S186" s="45"/>
      <c r="T186" s="41">
        <v>3.55</v>
      </c>
      <c r="U186" s="46">
        <f t="shared" si="69"/>
        <v>7100</v>
      </c>
      <c r="V186" s="47"/>
      <c r="W186" s="40">
        <f t="shared" si="70"/>
        <v>7100</v>
      </c>
      <c r="X186" s="41"/>
      <c r="Y186" s="37"/>
      <c r="Z186" s="41"/>
      <c r="AA186" s="41"/>
      <c r="AB186" s="41"/>
      <c r="AC186" s="41"/>
      <c r="AD186" s="48">
        <f t="shared" si="66"/>
        <v>0</v>
      </c>
      <c r="AE186" s="41">
        <f t="shared" si="67"/>
        <v>3.55</v>
      </c>
      <c r="AF186" s="41">
        <v>0</v>
      </c>
    </row>
    <row r="187" spans="1:32" x14ac:dyDescent="0.25">
      <c r="A187" s="49" t="s">
        <v>31</v>
      </c>
      <c r="B187" s="34" t="s">
        <v>249</v>
      </c>
      <c r="C187" s="35">
        <v>45875</v>
      </c>
      <c r="D187" s="36" t="s">
        <v>281</v>
      </c>
      <c r="E187" s="34" t="s">
        <v>260</v>
      </c>
      <c r="F187" s="37">
        <v>390</v>
      </c>
      <c r="G187" s="35">
        <v>45881</v>
      </c>
      <c r="H187" s="38" t="s">
        <v>282</v>
      </c>
      <c r="I187" s="34" t="s">
        <v>260</v>
      </c>
      <c r="J187" s="39">
        <v>390</v>
      </c>
      <c r="K187" s="36">
        <v>24</v>
      </c>
      <c r="L187" s="40">
        <f t="shared" si="68"/>
        <v>9360</v>
      </c>
      <c r="M187" s="41"/>
      <c r="N187" s="35"/>
      <c r="O187" s="34"/>
      <c r="P187" s="42"/>
      <c r="Q187" s="43"/>
      <c r="R187" s="44"/>
      <c r="S187" s="45"/>
      <c r="T187" s="41"/>
      <c r="U187" s="46"/>
      <c r="V187" s="47"/>
      <c r="W187" s="40"/>
      <c r="X187" s="41"/>
      <c r="Y187" s="37"/>
      <c r="Z187" s="41"/>
      <c r="AA187" s="41"/>
      <c r="AB187" s="41"/>
      <c r="AC187" s="41"/>
      <c r="AD187" s="48" t="e">
        <f t="shared" si="66"/>
        <v>#DIV/0!</v>
      </c>
      <c r="AE187" s="41"/>
      <c r="AF187" s="41">
        <v>0</v>
      </c>
    </row>
    <row r="188" spans="1:32" x14ac:dyDescent="0.25">
      <c r="A188" s="49" t="s">
        <v>31</v>
      </c>
      <c r="B188" s="76" t="s">
        <v>283</v>
      </c>
      <c r="C188" s="77">
        <v>45877</v>
      </c>
      <c r="D188" s="50" t="s">
        <v>284</v>
      </c>
      <c r="E188" s="76" t="s">
        <v>105</v>
      </c>
      <c r="F188" s="78">
        <v>1000</v>
      </c>
      <c r="G188" s="77">
        <v>45881</v>
      </c>
      <c r="H188" s="79" t="s">
        <v>285</v>
      </c>
      <c r="I188" s="76" t="s">
        <v>286</v>
      </c>
      <c r="J188" s="80">
        <v>4000</v>
      </c>
      <c r="K188" s="50">
        <v>13.85</v>
      </c>
      <c r="L188" s="81">
        <f t="shared" si="68"/>
        <v>55400</v>
      </c>
      <c r="M188" s="82" t="s">
        <v>287</v>
      </c>
      <c r="N188" s="77">
        <v>45880</v>
      </c>
      <c r="O188" s="76" t="s">
        <v>286</v>
      </c>
      <c r="P188" s="83">
        <v>4000</v>
      </c>
      <c r="Q188" s="84"/>
      <c r="R188" s="85"/>
      <c r="S188" s="86"/>
      <c r="T188" s="82">
        <v>13.85</v>
      </c>
      <c r="U188" s="87">
        <f>+T188*P188</f>
        <v>55400</v>
      </c>
      <c r="V188" s="88"/>
      <c r="W188" s="81">
        <f>V188+U188</f>
        <v>55400</v>
      </c>
      <c r="X188" s="82"/>
      <c r="Y188" s="78"/>
      <c r="Z188" s="82"/>
      <c r="AA188" s="82"/>
      <c r="AB188" s="82"/>
      <c r="AC188" s="82"/>
      <c r="AD188" s="89">
        <f t="shared" si="66"/>
        <v>0</v>
      </c>
      <c r="AE188" s="82">
        <f t="shared" si="67"/>
        <v>13.85</v>
      </c>
      <c r="AF188" s="82">
        <v>0</v>
      </c>
    </row>
    <row r="189" spans="1:32" x14ac:dyDescent="0.25">
      <c r="A189" s="49" t="s">
        <v>31</v>
      </c>
      <c r="B189" s="60" t="s">
        <v>283</v>
      </c>
      <c r="C189" s="61">
        <v>45877</v>
      </c>
      <c r="D189" s="65" t="s">
        <v>284</v>
      </c>
      <c r="E189" s="60" t="s">
        <v>75</v>
      </c>
      <c r="F189" s="62">
        <v>4000</v>
      </c>
      <c r="G189" s="61">
        <v>45881</v>
      </c>
      <c r="H189" s="63" t="s">
        <v>285</v>
      </c>
      <c r="I189" s="60" t="s">
        <v>272</v>
      </c>
      <c r="J189" s="64">
        <v>1000</v>
      </c>
      <c r="K189" s="65">
        <v>13.45</v>
      </c>
      <c r="L189" s="66">
        <f t="shared" si="68"/>
        <v>13450</v>
      </c>
      <c r="M189" s="67" t="s">
        <v>287</v>
      </c>
      <c r="N189" s="61">
        <v>45880</v>
      </c>
      <c r="O189" s="60" t="s">
        <v>272</v>
      </c>
      <c r="P189" s="31">
        <v>1000</v>
      </c>
      <c r="Q189" s="68"/>
      <c r="R189" s="69"/>
      <c r="S189" s="70"/>
      <c r="T189" s="67">
        <v>13.45</v>
      </c>
      <c r="U189" s="71">
        <f>+T189*P189</f>
        <v>13450</v>
      </c>
      <c r="V189" s="72"/>
      <c r="W189" s="66">
        <f>V189+U189</f>
        <v>13450</v>
      </c>
      <c r="X189" s="67"/>
      <c r="Y189" s="62"/>
      <c r="Z189" s="67"/>
      <c r="AA189" s="67"/>
      <c r="AB189" s="67"/>
      <c r="AC189" s="67"/>
      <c r="AD189" s="73">
        <f t="shared" si="66"/>
        <v>0</v>
      </c>
      <c r="AE189" s="67">
        <f t="shared" si="67"/>
        <v>13.45</v>
      </c>
      <c r="AF189" s="67">
        <v>0</v>
      </c>
    </row>
    <row r="190" spans="1:32" x14ac:dyDescent="0.25">
      <c r="A190" s="33" t="s">
        <v>25</v>
      </c>
      <c r="B190" s="76" t="s">
        <v>47</v>
      </c>
      <c r="C190" s="77">
        <v>45811</v>
      </c>
      <c r="D190" s="50" t="s">
        <v>288</v>
      </c>
      <c r="E190" s="76" t="s">
        <v>46</v>
      </c>
      <c r="F190" s="78">
        <v>1900</v>
      </c>
      <c r="G190" s="77">
        <v>45884</v>
      </c>
      <c r="H190" s="79" t="s">
        <v>289</v>
      </c>
      <c r="I190" s="76" t="s">
        <v>46</v>
      </c>
      <c r="J190" s="80">
        <v>1900</v>
      </c>
      <c r="K190" s="50">
        <f t="shared" ref="K190:K208" si="71">T190</f>
        <v>37.970640000000003</v>
      </c>
      <c r="L190" s="81">
        <f t="shared" si="68"/>
        <v>72144.216</v>
      </c>
      <c r="M190" s="82" t="s">
        <v>290</v>
      </c>
      <c r="N190" s="3">
        <v>45862</v>
      </c>
      <c r="O190" s="76" t="s">
        <v>46</v>
      </c>
      <c r="P190" s="83">
        <v>1900</v>
      </c>
      <c r="Q190" s="84">
        <v>3.6</v>
      </c>
      <c r="R190" s="85">
        <f t="shared" ref="R190:R209" si="72">P190*Q190</f>
        <v>6840</v>
      </c>
      <c r="S190" s="86">
        <v>10.5474</v>
      </c>
      <c r="T190" s="82">
        <f t="shared" ref="T190:T208" si="73">Q190*S190</f>
        <v>37.970640000000003</v>
      </c>
      <c r="U190" s="87">
        <f t="shared" ref="U190:U208" si="74">P190*T190</f>
        <v>72144.216</v>
      </c>
      <c r="V190" s="88">
        <f t="shared" ref="V190:V197" si="75">((0.08219178082)*P190)*S190</f>
        <v>1647.1282191396492</v>
      </c>
      <c r="W190" s="81">
        <f t="shared" ref="W190:W209" si="76">U190+V190</f>
        <v>73791.344219139646</v>
      </c>
      <c r="X190" s="82"/>
      <c r="Y190" s="78"/>
      <c r="Z190" s="82"/>
      <c r="AA190" s="82"/>
      <c r="AB190" s="82"/>
      <c r="AC190" s="82"/>
      <c r="AD190" s="89">
        <f t="shared" si="66"/>
        <v>0.86690958902086801</v>
      </c>
      <c r="AE190" s="82">
        <f t="shared" si="67"/>
        <v>38.837549589020874</v>
      </c>
      <c r="AF190" s="82">
        <v>0</v>
      </c>
    </row>
    <row r="191" spans="1:32" x14ac:dyDescent="0.25">
      <c r="A191" s="33" t="s">
        <v>25</v>
      </c>
      <c r="B191" s="2" t="s">
        <v>26</v>
      </c>
      <c r="C191" s="3">
        <v>45811</v>
      </c>
      <c r="D191" s="6" t="s">
        <v>288</v>
      </c>
      <c r="E191" s="2" t="s">
        <v>125</v>
      </c>
      <c r="F191" s="51">
        <v>3300</v>
      </c>
      <c r="G191" s="3">
        <v>45884</v>
      </c>
      <c r="H191" s="4" t="s">
        <v>289</v>
      </c>
      <c r="I191" s="2" t="s">
        <v>125</v>
      </c>
      <c r="J191" s="52">
        <v>3300</v>
      </c>
      <c r="K191" s="6">
        <f t="shared" si="71"/>
        <v>6.961284</v>
      </c>
      <c r="L191" s="53">
        <f t="shared" si="68"/>
        <v>22972.2372</v>
      </c>
      <c r="M191" s="1" t="s">
        <v>290</v>
      </c>
      <c r="N191" s="3">
        <v>45862</v>
      </c>
      <c r="O191" s="2" t="s">
        <v>125</v>
      </c>
      <c r="P191" s="9">
        <v>3300</v>
      </c>
      <c r="Q191" s="54">
        <v>0.66</v>
      </c>
      <c r="R191" s="55">
        <f t="shared" si="72"/>
        <v>2178</v>
      </c>
      <c r="S191" s="56">
        <v>10.5474</v>
      </c>
      <c r="T191" s="1">
        <f t="shared" si="73"/>
        <v>6.961284</v>
      </c>
      <c r="U191" s="57">
        <f t="shared" si="74"/>
        <v>22972.2372</v>
      </c>
      <c r="V191" s="58">
        <f t="shared" si="75"/>
        <v>2860.8016437688643</v>
      </c>
      <c r="W191" s="53">
        <f t="shared" si="76"/>
        <v>25833.038843768863</v>
      </c>
      <c r="AC191" s="1"/>
      <c r="AD191" s="59">
        <f t="shared" si="66"/>
        <v>0.86690958902086801</v>
      </c>
      <c r="AE191" s="1">
        <f t="shared" si="67"/>
        <v>7.8281935890208683</v>
      </c>
      <c r="AF191" s="1">
        <v>0</v>
      </c>
    </row>
    <row r="192" spans="1:32" x14ac:dyDescent="0.25">
      <c r="A192" s="33" t="s">
        <v>25</v>
      </c>
      <c r="B192" s="2" t="s">
        <v>26</v>
      </c>
      <c r="C192" s="3">
        <v>45811</v>
      </c>
      <c r="D192" s="6" t="s">
        <v>288</v>
      </c>
      <c r="E192" s="2" t="s">
        <v>41</v>
      </c>
      <c r="F192" s="51">
        <v>4400</v>
      </c>
      <c r="G192" s="3">
        <v>45884</v>
      </c>
      <c r="H192" s="4" t="s">
        <v>289</v>
      </c>
      <c r="I192" s="2" t="s">
        <v>41</v>
      </c>
      <c r="J192" s="52">
        <v>4400</v>
      </c>
      <c r="K192" s="6">
        <f>T192</f>
        <v>8.1214980000000008</v>
      </c>
      <c r="L192" s="53">
        <f t="shared" si="68"/>
        <v>35734.591200000003</v>
      </c>
      <c r="M192" s="1" t="s">
        <v>290</v>
      </c>
      <c r="N192" s="3">
        <v>45862</v>
      </c>
      <c r="O192" s="2" t="s">
        <v>41</v>
      </c>
      <c r="P192" s="9">
        <v>4400</v>
      </c>
      <c r="Q192" s="54">
        <v>0.77</v>
      </c>
      <c r="R192" s="55">
        <f t="shared" si="72"/>
        <v>3388</v>
      </c>
      <c r="S192" s="56">
        <v>10.5474</v>
      </c>
      <c r="T192" s="1">
        <f t="shared" si="73"/>
        <v>8.1214980000000008</v>
      </c>
      <c r="U192" s="57">
        <f t="shared" si="74"/>
        <v>35734.591200000003</v>
      </c>
      <c r="V192" s="58">
        <f t="shared" si="75"/>
        <v>3814.4021916918191</v>
      </c>
      <c r="W192" s="53">
        <f t="shared" si="76"/>
        <v>39548.993391691823</v>
      </c>
      <c r="AC192" s="1"/>
      <c r="AD192" s="59">
        <f t="shared" si="66"/>
        <v>0.86690958902086801</v>
      </c>
      <c r="AE192" s="1">
        <f t="shared" si="67"/>
        <v>8.9884075890208681</v>
      </c>
      <c r="AF192" s="1">
        <v>0</v>
      </c>
    </row>
    <row r="193" spans="1:32" x14ac:dyDescent="0.25">
      <c r="A193" s="33" t="s">
        <v>25</v>
      </c>
      <c r="B193" s="2" t="s">
        <v>26</v>
      </c>
      <c r="C193" s="3">
        <v>45811</v>
      </c>
      <c r="D193" s="6" t="s">
        <v>288</v>
      </c>
      <c r="E193" s="2" t="s">
        <v>44</v>
      </c>
      <c r="F193" s="51">
        <v>3000</v>
      </c>
      <c r="G193" s="3">
        <v>45884</v>
      </c>
      <c r="H193" s="4" t="s">
        <v>289</v>
      </c>
      <c r="I193" s="2" t="s">
        <v>44</v>
      </c>
      <c r="J193" s="52">
        <v>3000</v>
      </c>
      <c r="K193" s="6">
        <f t="shared" si="71"/>
        <v>11.707614000000001</v>
      </c>
      <c r="L193" s="53">
        <f t="shared" si="68"/>
        <v>35122.842000000004</v>
      </c>
      <c r="M193" s="1" t="s">
        <v>290</v>
      </c>
      <c r="N193" s="3">
        <v>45862</v>
      </c>
      <c r="O193" s="2" t="s">
        <v>44</v>
      </c>
      <c r="P193" s="9">
        <v>3000</v>
      </c>
      <c r="Q193" s="54">
        <v>1.1100000000000001</v>
      </c>
      <c r="R193" s="55">
        <f t="shared" si="72"/>
        <v>3330.0000000000005</v>
      </c>
      <c r="S193" s="56">
        <v>10.5474</v>
      </c>
      <c r="T193" s="1">
        <f t="shared" si="73"/>
        <v>11.707614000000001</v>
      </c>
      <c r="U193" s="57">
        <f t="shared" si="74"/>
        <v>35122.842000000004</v>
      </c>
      <c r="V193" s="58">
        <f t="shared" si="75"/>
        <v>2600.7287670626038</v>
      </c>
      <c r="W193" s="53">
        <f t="shared" si="76"/>
        <v>37723.570767062607</v>
      </c>
      <c r="AC193" s="1"/>
      <c r="AD193" s="59">
        <f t="shared" si="66"/>
        <v>0.8669095890208679</v>
      </c>
      <c r="AE193" s="1">
        <f t="shared" si="67"/>
        <v>12.574523589020869</v>
      </c>
      <c r="AF193" s="1">
        <v>0</v>
      </c>
    </row>
    <row r="194" spans="1:32" x14ac:dyDescent="0.25">
      <c r="A194" s="33" t="s">
        <v>25</v>
      </c>
      <c r="B194" s="2" t="s">
        <v>47</v>
      </c>
      <c r="C194" s="3">
        <v>45811</v>
      </c>
      <c r="D194" s="6" t="s">
        <v>288</v>
      </c>
      <c r="E194" s="2" t="s">
        <v>52</v>
      </c>
      <c r="F194" s="51">
        <v>5000</v>
      </c>
      <c r="G194" s="3">
        <v>45884</v>
      </c>
      <c r="H194" s="4" t="s">
        <v>289</v>
      </c>
      <c r="I194" s="2" t="s">
        <v>52</v>
      </c>
      <c r="J194" s="52">
        <v>5000</v>
      </c>
      <c r="K194" s="6">
        <f t="shared" si="71"/>
        <v>9.0707639999999987</v>
      </c>
      <c r="L194" s="53">
        <f>K194*J194</f>
        <v>45353.819999999992</v>
      </c>
      <c r="M194" s="1" t="s">
        <v>290</v>
      </c>
      <c r="N194" s="3">
        <v>45862</v>
      </c>
      <c r="O194" s="2" t="s">
        <v>52</v>
      </c>
      <c r="P194" s="9">
        <v>5000</v>
      </c>
      <c r="Q194" s="54">
        <v>0.86</v>
      </c>
      <c r="R194" s="55">
        <f t="shared" si="72"/>
        <v>4300</v>
      </c>
      <c r="S194" s="56">
        <v>10.5474</v>
      </c>
      <c r="T194" s="1">
        <f t="shared" si="73"/>
        <v>9.0707639999999987</v>
      </c>
      <c r="U194" s="57">
        <f t="shared" si="74"/>
        <v>45353.819999999992</v>
      </c>
      <c r="V194" s="58">
        <f t="shared" si="75"/>
        <v>4334.5479451043402</v>
      </c>
      <c r="W194" s="53">
        <f t="shared" si="76"/>
        <v>49688.367945104335</v>
      </c>
      <c r="AC194" s="1"/>
      <c r="AD194" s="59">
        <f t="shared" si="66"/>
        <v>0.86690958902086801</v>
      </c>
      <c r="AE194" s="1">
        <f t="shared" si="67"/>
        <v>9.9376735890208661</v>
      </c>
      <c r="AF194" s="1">
        <v>0</v>
      </c>
    </row>
    <row r="195" spans="1:32" x14ac:dyDescent="0.25">
      <c r="A195" s="33" t="s">
        <v>25</v>
      </c>
      <c r="B195" s="2" t="s">
        <v>26</v>
      </c>
      <c r="C195" s="3">
        <v>45811</v>
      </c>
      <c r="D195" s="6" t="s">
        <v>288</v>
      </c>
      <c r="E195" s="2" t="s">
        <v>28</v>
      </c>
      <c r="F195" s="51">
        <v>5000</v>
      </c>
      <c r="G195" s="3">
        <v>45884</v>
      </c>
      <c r="H195" s="4" t="s">
        <v>289</v>
      </c>
      <c r="I195" s="2" t="s">
        <v>28</v>
      </c>
      <c r="J195" s="52">
        <v>5000</v>
      </c>
      <c r="K195" s="6">
        <f>T195</f>
        <v>11.60214</v>
      </c>
      <c r="L195" s="53">
        <f t="shared" si="68"/>
        <v>58010.700000000004</v>
      </c>
      <c r="M195" s="1" t="s">
        <v>290</v>
      </c>
      <c r="N195" s="3">
        <v>45862</v>
      </c>
      <c r="O195" s="2" t="s">
        <v>28</v>
      </c>
      <c r="P195" s="9">
        <v>5000</v>
      </c>
      <c r="Q195" s="54">
        <v>1.1000000000000001</v>
      </c>
      <c r="R195" s="55">
        <f t="shared" si="72"/>
        <v>5500</v>
      </c>
      <c r="S195" s="56">
        <v>10.5474</v>
      </c>
      <c r="T195" s="1">
        <f t="shared" si="73"/>
        <v>11.60214</v>
      </c>
      <c r="U195" s="57">
        <f t="shared" si="74"/>
        <v>58010.700000000004</v>
      </c>
      <c r="V195" s="58">
        <f t="shared" si="75"/>
        <v>4334.5479451043402</v>
      </c>
      <c r="W195" s="53">
        <f t="shared" si="76"/>
        <v>62345.247945104347</v>
      </c>
      <c r="AC195" s="1"/>
      <c r="AD195" s="59">
        <f t="shared" si="66"/>
        <v>0.86690958902086801</v>
      </c>
      <c r="AE195" s="1">
        <f t="shared" si="67"/>
        <v>12.469049589020868</v>
      </c>
      <c r="AF195" s="1">
        <v>0</v>
      </c>
    </row>
    <row r="196" spans="1:32" x14ac:dyDescent="0.25">
      <c r="A196" s="33" t="s">
        <v>25</v>
      </c>
      <c r="B196" s="2" t="s">
        <v>26</v>
      </c>
      <c r="C196" s="3">
        <v>45811</v>
      </c>
      <c r="D196" s="6" t="s">
        <v>288</v>
      </c>
      <c r="E196" s="2" t="s">
        <v>148</v>
      </c>
      <c r="F196" s="51">
        <v>1000</v>
      </c>
      <c r="G196" s="3">
        <v>45884</v>
      </c>
      <c r="H196" s="4" t="s">
        <v>289</v>
      </c>
      <c r="I196" s="2" t="s">
        <v>148</v>
      </c>
      <c r="J196" s="52">
        <v>1000</v>
      </c>
      <c r="K196" s="6">
        <f t="shared" si="71"/>
        <v>15.293729999999998</v>
      </c>
      <c r="L196" s="53">
        <f t="shared" si="68"/>
        <v>15293.729999999998</v>
      </c>
      <c r="M196" s="1" t="s">
        <v>290</v>
      </c>
      <c r="N196" s="3">
        <v>45862</v>
      </c>
      <c r="O196" s="2" t="s">
        <v>148</v>
      </c>
      <c r="P196" s="9">
        <v>1000</v>
      </c>
      <c r="Q196" s="54">
        <v>1.45</v>
      </c>
      <c r="R196" s="55">
        <f t="shared" si="72"/>
        <v>1450</v>
      </c>
      <c r="S196" s="56">
        <v>10.5474</v>
      </c>
      <c r="T196" s="1">
        <f t="shared" si="73"/>
        <v>15.293729999999998</v>
      </c>
      <c r="U196" s="57">
        <f>P196*T196</f>
        <v>15293.729999999998</v>
      </c>
      <c r="V196" s="58">
        <f t="shared" si="75"/>
        <v>866.909589020868</v>
      </c>
      <c r="W196" s="53">
        <f>U196+V196</f>
        <v>16160.639589020866</v>
      </c>
      <c r="AC196" s="1"/>
      <c r="AD196" s="59">
        <f t="shared" si="66"/>
        <v>0.86690958902086801</v>
      </c>
      <c r="AE196" s="1">
        <f t="shared" si="67"/>
        <v>16.160639589020867</v>
      </c>
      <c r="AF196" s="1">
        <v>0</v>
      </c>
    </row>
    <row r="197" spans="1:32" x14ac:dyDescent="0.25">
      <c r="A197" s="33" t="s">
        <v>25</v>
      </c>
      <c r="B197" s="60" t="s">
        <v>26</v>
      </c>
      <c r="C197" s="61">
        <v>45811</v>
      </c>
      <c r="D197" s="65" t="s">
        <v>288</v>
      </c>
      <c r="E197" s="60" t="s">
        <v>291</v>
      </c>
      <c r="F197" s="62">
        <v>600</v>
      </c>
      <c r="G197" s="61">
        <v>45884</v>
      </c>
      <c r="H197" s="63" t="s">
        <v>289</v>
      </c>
      <c r="I197" s="60" t="s">
        <v>291</v>
      </c>
      <c r="J197" s="64">
        <v>600</v>
      </c>
      <c r="K197" s="65">
        <f t="shared" si="71"/>
        <v>19.196268</v>
      </c>
      <c r="L197" s="66">
        <f t="shared" si="68"/>
        <v>11517.7608</v>
      </c>
      <c r="M197" s="67" t="s">
        <v>290</v>
      </c>
      <c r="N197" s="61">
        <v>45862</v>
      </c>
      <c r="O197" s="60" t="s">
        <v>291</v>
      </c>
      <c r="P197" s="31">
        <v>600</v>
      </c>
      <c r="Q197" s="68">
        <v>1.82</v>
      </c>
      <c r="R197" s="69">
        <f t="shared" si="72"/>
        <v>1092</v>
      </c>
      <c r="S197" s="70">
        <v>10.5474</v>
      </c>
      <c r="T197" s="67">
        <f t="shared" si="73"/>
        <v>19.196268</v>
      </c>
      <c r="U197" s="71">
        <f t="shared" si="74"/>
        <v>11517.7608</v>
      </c>
      <c r="V197" s="72">
        <f t="shared" si="75"/>
        <v>520.14575341252078</v>
      </c>
      <c r="W197" s="66">
        <f t="shared" ref="W197" si="77">U197+V197</f>
        <v>12037.90655341252</v>
      </c>
      <c r="X197" s="67"/>
      <c r="Y197" s="62"/>
      <c r="Z197" s="67"/>
      <c r="AA197" s="67"/>
      <c r="AB197" s="67"/>
      <c r="AC197" s="67"/>
      <c r="AD197" s="73">
        <f t="shared" si="66"/>
        <v>0.86690958902086801</v>
      </c>
      <c r="AE197" s="67">
        <f t="shared" si="67"/>
        <v>20.063177589020867</v>
      </c>
      <c r="AF197" s="67">
        <v>0</v>
      </c>
    </row>
    <row r="198" spans="1:32" x14ac:dyDescent="0.25">
      <c r="A198" s="33" t="s">
        <v>25</v>
      </c>
      <c r="B198" s="2" t="s">
        <v>26</v>
      </c>
      <c r="C198" s="3">
        <v>45856</v>
      </c>
      <c r="D198" s="6" t="s">
        <v>292</v>
      </c>
      <c r="E198" s="2" t="s">
        <v>48</v>
      </c>
      <c r="F198" s="51">
        <v>2500</v>
      </c>
      <c r="G198" s="3">
        <v>45897</v>
      </c>
      <c r="H198" s="4" t="s">
        <v>293</v>
      </c>
      <c r="I198" s="2" t="s">
        <v>48</v>
      </c>
      <c r="J198" s="52">
        <v>2500</v>
      </c>
      <c r="K198" s="6">
        <f t="shared" si="71"/>
        <v>14.928459999999999</v>
      </c>
      <c r="L198" s="53">
        <f t="shared" si="68"/>
        <v>37321.15</v>
      </c>
      <c r="M198" s="1" t="s">
        <v>294</v>
      </c>
      <c r="N198" s="3">
        <v>45874</v>
      </c>
      <c r="O198" s="2" t="s">
        <v>48</v>
      </c>
      <c r="P198" s="9">
        <v>2500</v>
      </c>
      <c r="Q198" s="54">
        <v>1.42</v>
      </c>
      <c r="R198" s="55">
        <f t="shared" si="72"/>
        <v>3550</v>
      </c>
      <c r="S198" s="56">
        <v>10.513</v>
      </c>
      <c r="T198" s="1">
        <f t="shared" si="73"/>
        <v>14.928459999999999</v>
      </c>
      <c r="U198" s="57">
        <f t="shared" si="74"/>
        <v>37321.15</v>
      </c>
      <c r="V198" s="58">
        <f t="shared" ref="V198:V209" si="78">((0.20662768031)*P198)*S198</f>
        <v>5430.6920077475752</v>
      </c>
      <c r="W198" s="53">
        <f t="shared" si="76"/>
        <v>42751.842007747575</v>
      </c>
      <c r="AC198" s="1"/>
      <c r="AD198" s="74">
        <f>V198/P198</f>
        <v>2.17227680309903</v>
      </c>
      <c r="AE198" s="98">
        <f>T198+AD198</f>
        <v>17.100736803099029</v>
      </c>
      <c r="AF198" s="1">
        <v>0</v>
      </c>
    </row>
    <row r="199" spans="1:32" x14ac:dyDescent="0.25">
      <c r="A199" s="33" t="s">
        <v>25</v>
      </c>
      <c r="B199" s="2" t="s">
        <v>26</v>
      </c>
      <c r="C199" s="3">
        <v>45856</v>
      </c>
      <c r="D199" s="6" t="s">
        <v>292</v>
      </c>
      <c r="E199" s="2" t="s">
        <v>111</v>
      </c>
      <c r="F199" s="51">
        <v>1000</v>
      </c>
      <c r="G199" s="3">
        <v>45897</v>
      </c>
      <c r="H199" s="4" t="s">
        <v>293</v>
      </c>
      <c r="I199" s="2" t="s">
        <v>111</v>
      </c>
      <c r="J199" s="52">
        <v>1000</v>
      </c>
      <c r="K199" s="6">
        <f t="shared" si="71"/>
        <v>15.769500000000001</v>
      </c>
      <c r="L199" s="53">
        <f t="shared" si="68"/>
        <v>15769.5</v>
      </c>
      <c r="M199" s="1" t="s">
        <v>294</v>
      </c>
      <c r="N199" s="3">
        <v>45874</v>
      </c>
      <c r="O199" s="2" t="s">
        <v>111</v>
      </c>
      <c r="P199" s="9">
        <v>1000</v>
      </c>
      <c r="Q199" s="54">
        <v>1.5</v>
      </c>
      <c r="R199" s="55">
        <f t="shared" si="72"/>
        <v>1500</v>
      </c>
      <c r="S199" s="56">
        <v>10.513</v>
      </c>
      <c r="T199" s="1">
        <f t="shared" si="73"/>
        <v>15.769500000000001</v>
      </c>
      <c r="U199" s="57">
        <f t="shared" si="74"/>
        <v>15769.5</v>
      </c>
      <c r="V199" s="58">
        <f t="shared" si="78"/>
        <v>2172.2768030990301</v>
      </c>
      <c r="W199" s="53">
        <f t="shared" si="76"/>
        <v>17941.77680309903</v>
      </c>
      <c r="AC199" s="1"/>
      <c r="AD199" s="59">
        <f t="shared" si="66"/>
        <v>2.17227680309903</v>
      </c>
      <c r="AE199" s="1">
        <f t="shared" si="67"/>
        <v>17.941776803099032</v>
      </c>
      <c r="AF199" s="1">
        <v>0</v>
      </c>
    </row>
    <row r="200" spans="1:32" x14ac:dyDescent="0.25">
      <c r="A200" s="33" t="s">
        <v>25</v>
      </c>
      <c r="B200" s="2" t="s">
        <v>26</v>
      </c>
      <c r="C200" s="3">
        <v>45856</v>
      </c>
      <c r="D200" s="6" t="s">
        <v>292</v>
      </c>
      <c r="E200" s="2" t="s">
        <v>148</v>
      </c>
      <c r="F200" s="51">
        <v>2000</v>
      </c>
      <c r="G200" s="3">
        <v>45897</v>
      </c>
      <c r="H200" s="4" t="s">
        <v>293</v>
      </c>
      <c r="I200" s="2" t="s">
        <v>148</v>
      </c>
      <c r="J200" s="52">
        <v>2000</v>
      </c>
      <c r="K200" s="6">
        <f t="shared" si="71"/>
        <v>15.24385</v>
      </c>
      <c r="L200" s="53">
        <f t="shared" si="68"/>
        <v>30487.7</v>
      </c>
      <c r="M200" s="1" t="s">
        <v>294</v>
      </c>
      <c r="N200" s="3">
        <v>45874</v>
      </c>
      <c r="O200" s="2" t="s">
        <v>148</v>
      </c>
      <c r="P200" s="9">
        <v>2000</v>
      </c>
      <c r="Q200" s="54">
        <v>1.45</v>
      </c>
      <c r="R200" s="55">
        <f t="shared" si="72"/>
        <v>2900</v>
      </c>
      <c r="S200" s="56">
        <v>10.513</v>
      </c>
      <c r="T200" s="1">
        <f t="shared" si="73"/>
        <v>15.24385</v>
      </c>
      <c r="U200" s="57">
        <f t="shared" si="74"/>
        <v>30487.7</v>
      </c>
      <c r="V200" s="58">
        <f t="shared" si="78"/>
        <v>4344.5536061980602</v>
      </c>
      <c r="W200" s="53">
        <f t="shared" si="76"/>
        <v>34832.253606198065</v>
      </c>
      <c r="AC200" s="1"/>
      <c r="AD200" s="59">
        <f t="shared" si="66"/>
        <v>2.17227680309903</v>
      </c>
      <c r="AE200" s="1">
        <f t="shared" si="67"/>
        <v>17.416126803099029</v>
      </c>
      <c r="AF200" s="1">
        <v>0</v>
      </c>
    </row>
    <row r="201" spans="1:32" x14ac:dyDescent="0.25">
      <c r="A201" s="33" t="s">
        <v>25</v>
      </c>
      <c r="B201" s="2" t="s">
        <v>26</v>
      </c>
      <c r="C201" s="3">
        <v>45856</v>
      </c>
      <c r="D201" s="6" t="s">
        <v>292</v>
      </c>
      <c r="E201" s="2" t="s">
        <v>217</v>
      </c>
      <c r="F201" s="51">
        <v>6000</v>
      </c>
      <c r="G201" s="3">
        <v>45897</v>
      </c>
      <c r="H201" s="4" t="s">
        <v>293</v>
      </c>
      <c r="I201" s="2" t="s">
        <v>217</v>
      </c>
      <c r="J201" s="52">
        <v>6000</v>
      </c>
      <c r="K201" s="6">
        <f t="shared" si="71"/>
        <v>11.564300000000001</v>
      </c>
      <c r="L201" s="53">
        <f t="shared" si="68"/>
        <v>69385.8</v>
      </c>
      <c r="M201" s="1" t="s">
        <v>294</v>
      </c>
      <c r="N201" s="3">
        <v>45874</v>
      </c>
      <c r="O201" s="2" t="s">
        <v>217</v>
      </c>
      <c r="P201" s="9">
        <v>6000</v>
      </c>
      <c r="Q201" s="54">
        <v>1.1000000000000001</v>
      </c>
      <c r="R201" s="55">
        <f t="shared" si="72"/>
        <v>6600.0000000000009</v>
      </c>
      <c r="S201" s="56">
        <v>10.513</v>
      </c>
      <c r="T201" s="1">
        <f t="shared" si="73"/>
        <v>11.564300000000001</v>
      </c>
      <c r="U201" s="57">
        <f t="shared" si="74"/>
        <v>69385.8</v>
      </c>
      <c r="V201" s="58">
        <f t="shared" si="78"/>
        <v>13033.66081859418</v>
      </c>
      <c r="W201" s="53">
        <f t="shared" si="76"/>
        <v>82419.460818594176</v>
      </c>
      <c r="AC201" s="1"/>
      <c r="AD201" s="59">
        <f t="shared" si="66"/>
        <v>2.17227680309903</v>
      </c>
      <c r="AE201" s="1">
        <f>T201+AD201</f>
        <v>13.73657680309903</v>
      </c>
      <c r="AF201" s="1">
        <v>0</v>
      </c>
    </row>
    <row r="202" spans="1:32" x14ac:dyDescent="0.25">
      <c r="A202" s="33" t="s">
        <v>25</v>
      </c>
      <c r="B202" s="2" t="s">
        <v>26</v>
      </c>
      <c r="C202" s="3">
        <v>45856</v>
      </c>
      <c r="D202" s="6" t="s">
        <v>292</v>
      </c>
      <c r="E202" s="2" t="s">
        <v>54</v>
      </c>
      <c r="F202" s="51">
        <v>9000</v>
      </c>
      <c r="G202" s="3">
        <v>45897</v>
      </c>
      <c r="H202" s="4" t="s">
        <v>293</v>
      </c>
      <c r="I202" s="2" t="s">
        <v>54</v>
      </c>
      <c r="J202" s="52">
        <v>9000</v>
      </c>
      <c r="K202" s="6">
        <f t="shared" si="71"/>
        <v>22.497820000000001</v>
      </c>
      <c r="L202" s="53">
        <f t="shared" si="68"/>
        <v>202480.38</v>
      </c>
      <c r="M202" s="1" t="s">
        <v>294</v>
      </c>
      <c r="N202" s="3">
        <v>45874</v>
      </c>
      <c r="O202" s="2" t="s">
        <v>54</v>
      </c>
      <c r="P202" s="9">
        <v>9000</v>
      </c>
      <c r="Q202" s="54">
        <v>2.14</v>
      </c>
      <c r="R202" s="55">
        <f>P202*Q202</f>
        <v>19260</v>
      </c>
      <c r="S202" s="56">
        <v>10.513</v>
      </c>
      <c r="T202" s="1">
        <f t="shared" si="73"/>
        <v>22.497820000000001</v>
      </c>
      <c r="U202" s="57">
        <f t="shared" si="74"/>
        <v>202480.38</v>
      </c>
      <c r="V202" s="58">
        <f t="shared" si="78"/>
        <v>19550.491227891271</v>
      </c>
      <c r="W202" s="53">
        <f t="shared" si="76"/>
        <v>222030.87122789127</v>
      </c>
      <c r="AC202" s="1"/>
      <c r="AD202" s="59">
        <f t="shared" si="66"/>
        <v>2.17227680309903</v>
      </c>
      <c r="AE202" s="1">
        <f t="shared" si="67"/>
        <v>24.670096803099032</v>
      </c>
      <c r="AF202" s="1">
        <v>0</v>
      </c>
    </row>
    <row r="203" spans="1:32" x14ac:dyDescent="0.25">
      <c r="A203" s="33" t="s">
        <v>25</v>
      </c>
      <c r="B203" s="2" t="s">
        <v>26</v>
      </c>
      <c r="C203" s="3">
        <v>45856</v>
      </c>
      <c r="D203" s="6" t="s">
        <v>292</v>
      </c>
      <c r="E203" s="2" t="s">
        <v>43</v>
      </c>
      <c r="F203" s="51">
        <v>1000</v>
      </c>
      <c r="G203" s="3">
        <v>45897</v>
      </c>
      <c r="H203" s="4" t="s">
        <v>293</v>
      </c>
      <c r="I203" s="2" t="s">
        <v>43</v>
      </c>
      <c r="J203" s="52">
        <v>1000</v>
      </c>
      <c r="K203" s="6">
        <f>T203</f>
        <v>20.60548</v>
      </c>
      <c r="L203" s="53">
        <f t="shared" si="68"/>
        <v>20605.48</v>
      </c>
      <c r="M203" s="1" t="s">
        <v>294</v>
      </c>
      <c r="N203" s="3">
        <v>45874</v>
      </c>
      <c r="O203" s="2" t="s">
        <v>43</v>
      </c>
      <c r="P203" s="9">
        <v>1000</v>
      </c>
      <c r="Q203" s="54">
        <v>1.96</v>
      </c>
      <c r="R203" s="55">
        <f t="shared" si="72"/>
        <v>1960</v>
      </c>
      <c r="S203" s="56">
        <v>10.513</v>
      </c>
      <c r="T203" s="1">
        <f t="shared" si="73"/>
        <v>20.60548</v>
      </c>
      <c r="U203" s="57">
        <f t="shared" si="74"/>
        <v>20605.48</v>
      </c>
      <c r="V203" s="58">
        <f t="shared" si="78"/>
        <v>2172.2768030990301</v>
      </c>
      <c r="W203" s="53">
        <f t="shared" si="76"/>
        <v>22777.75680309903</v>
      </c>
      <c r="AC203" s="1"/>
      <c r="AD203" s="59">
        <f t="shared" si="66"/>
        <v>2.17227680309903</v>
      </c>
      <c r="AE203" s="1">
        <f t="shared" si="67"/>
        <v>22.777756803099031</v>
      </c>
      <c r="AF203" s="1">
        <v>0</v>
      </c>
    </row>
    <row r="204" spans="1:32" x14ac:dyDescent="0.25">
      <c r="A204" s="33" t="s">
        <v>25</v>
      </c>
      <c r="B204" s="2" t="s">
        <v>26</v>
      </c>
      <c r="C204" s="3">
        <v>45856</v>
      </c>
      <c r="D204" s="6" t="s">
        <v>292</v>
      </c>
      <c r="E204" s="2" t="s">
        <v>110</v>
      </c>
      <c r="F204" s="51">
        <v>200</v>
      </c>
      <c r="G204" s="3">
        <v>45897</v>
      </c>
      <c r="H204" s="4" t="s">
        <v>293</v>
      </c>
      <c r="I204" s="2" t="s">
        <v>110</v>
      </c>
      <c r="J204" s="52">
        <v>200</v>
      </c>
      <c r="K204" s="6">
        <f>T204</f>
        <v>22.287559999999999</v>
      </c>
      <c r="L204" s="53">
        <f>K204*J204</f>
        <v>4457.5119999999997</v>
      </c>
      <c r="M204" s="1" t="s">
        <v>294</v>
      </c>
      <c r="N204" s="3">
        <v>45874</v>
      </c>
      <c r="O204" s="2" t="s">
        <v>110</v>
      </c>
      <c r="P204" s="9">
        <v>200</v>
      </c>
      <c r="Q204" s="54">
        <v>2.12</v>
      </c>
      <c r="R204" s="55">
        <f t="shared" si="72"/>
        <v>424</v>
      </c>
      <c r="S204" s="56">
        <v>10.513</v>
      </c>
      <c r="T204" s="1">
        <f t="shared" si="73"/>
        <v>22.287559999999999</v>
      </c>
      <c r="U204" s="57">
        <f t="shared" si="74"/>
        <v>4457.5119999999997</v>
      </c>
      <c r="V204" s="58">
        <f t="shared" si="78"/>
        <v>434.45536061980596</v>
      </c>
      <c r="W204" s="53">
        <f t="shared" si="76"/>
        <v>4891.9673606198057</v>
      </c>
      <c r="AC204" s="1"/>
      <c r="AD204" s="59">
        <f t="shared" si="66"/>
        <v>2.1722768030990296</v>
      </c>
      <c r="AE204" s="1">
        <f>T204+AD204</f>
        <v>24.45983680309903</v>
      </c>
      <c r="AF204" s="1">
        <v>0</v>
      </c>
    </row>
    <row r="205" spans="1:32" x14ac:dyDescent="0.25">
      <c r="A205" s="33" t="s">
        <v>25</v>
      </c>
      <c r="B205" s="2" t="s">
        <v>26</v>
      </c>
      <c r="C205" s="3">
        <v>45856</v>
      </c>
      <c r="D205" s="6" t="s">
        <v>292</v>
      </c>
      <c r="E205" s="2" t="s">
        <v>41</v>
      </c>
      <c r="F205" s="51">
        <v>1000</v>
      </c>
      <c r="G205" s="3">
        <v>45897</v>
      </c>
      <c r="H205" s="4" t="s">
        <v>293</v>
      </c>
      <c r="I205" s="2" t="s">
        <v>41</v>
      </c>
      <c r="J205" s="52">
        <v>1000</v>
      </c>
      <c r="K205" s="6">
        <f t="shared" si="71"/>
        <v>8.0950100000000003</v>
      </c>
      <c r="L205" s="53">
        <f t="shared" si="68"/>
        <v>8095.01</v>
      </c>
      <c r="M205" s="1" t="s">
        <v>294</v>
      </c>
      <c r="N205" s="3">
        <v>45874</v>
      </c>
      <c r="O205" s="2" t="s">
        <v>41</v>
      </c>
      <c r="P205" s="9">
        <v>1000</v>
      </c>
      <c r="Q205" s="54">
        <v>0.77</v>
      </c>
      <c r="R205" s="55">
        <f t="shared" si="72"/>
        <v>770</v>
      </c>
      <c r="S205" s="56">
        <v>10.513</v>
      </c>
      <c r="T205" s="1">
        <f t="shared" si="73"/>
        <v>8.0950100000000003</v>
      </c>
      <c r="U205" s="57">
        <f t="shared" si="74"/>
        <v>8095.01</v>
      </c>
      <c r="V205" s="58">
        <f>((0.20662768031)*P205)*S205</f>
        <v>2172.2768030990301</v>
      </c>
      <c r="W205" s="53">
        <f t="shared" si="76"/>
        <v>10267.28680309903</v>
      </c>
      <c r="AC205" s="1"/>
      <c r="AD205" s="74">
        <f>V205/P205</f>
        <v>2.17227680309903</v>
      </c>
      <c r="AE205" s="1">
        <f t="shared" si="67"/>
        <v>10.267286803099029</v>
      </c>
      <c r="AF205" s="1">
        <v>0</v>
      </c>
    </row>
    <row r="206" spans="1:32" x14ac:dyDescent="0.25">
      <c r="A206" s="33" t="s">
        <v>25</v>
      </c>
      <c r="B206" s="2" t="s">
        <v>26</v>
      </c>
      <c r="C206" s="3">
        <v>45856</v>
      </c>
      <c r="D206" s="6" t="s">
        <v>292</v>
      </c>
      <c r="E206" s="2" t="s">
        <v>42</v>
      </c>
      <c r="F206" s="51">
        <v>1100</v>
      </c>
      <c r="G206" s="3">
        <v>45897</v>
      </c>
      <c r="H206" s="4" t="s">
        <v>293</v>
      </c>
      <c r="I206" s="2" t="s">
        <v>42</v>
      </c>
      <c r="J206" s="52">
        <v>1100</v>
      </c>
      <c r="K206" s="6">
        <f t="shared" si="71"/>
        <v>6.5180600000000002</v>
      </c>
      <c r="L206" s="53">
        <f t="shared" si="68"/>
        <v>7169.866</v>
      </c>
      <c r="M206" s="1" t="s">
        <v>294</v>
      </c>
      <c r="N206" s="3">
        <v>45874</v>
      </c>
      <c r="O206" s="2" t="s">
        <v>42</v>
      </c>
      <c r="P206" s="9">
        <v>1100</v>
      </c>
      <c r="Q206" s="54">
        <v>0.62</v>
      </c>
      <c r="R206" s="55">
        <f t="shared" si="72"/>
        <v>682</v>
      </c>
      <c r="S206" s="56">
        <v>10.513</v>
      </c>
      <c r="T206" s="1">
        <f t="shared" si="73"/>
        <v>6.5180600000000002</v>
      </c>
      <c r="U206" s="57">
        <f>P206*T206</f>
        <v>7169.866</v>
      </c>
      <c r="V206" s="58">
        <f t="shared" si="78"/>
        <v>2389.5044834089331</v>
      </c>
      <c r="W206" s="53">
        <f>U206+V206</f>
        <v>9559.3704834089331</v>
      </c>
      <c r="AC206" s="1"/>
      <c r="AD206" s="59">
        <f t="shared" si="66"/>
        <v>2.17227680309903</v>
      </c>
      <c r="AE206" s="1">
        <f t="shared" si="67"/>
        <v>8.6903368030990293</v>
      </c>
      <c r="AF206" s="1">
        <v>0</v>
      </c>
    </row>
    <row r="207" spans="1:32" x14ac:dyDescent="0.25">
      <c r="A207" s="33" t="s">
        <v>25</v>
      </c>
      <c r="B207" s="2" t="s">
        <v>26</v>
      </c>
      <c r="C207" s="3">
        <v>45856</v>
      </c>
      <c r="D207" s="6" t="s">
        <v>292</v>
      </c>
      <c r="E207" s="2" t="s">
        <v>220</v>
      </c>
      <c r="F207" s="51">
        <v>1000</v>
      </c>
      <c r="G207" s="3">
        <v>45897</v>
      </c>
      <c r="H207" s="4" t="s">
        <v>293</v>
      </c>
      <c r="I207" s="2" t="s">
        <v>220</v>
      </c>
      <c r="J207" s="52">
        <v>1000</v>
      </c>
      <c r="K207" s="6">
        <f t="shared" si="71"/>
        <v>13.6669</v>
      </c>
      <c r="L207" s="53">
        <f t="shared" si="68"/>
        <v>13666.9</v>
      </c>
      <c r="M207" s="1" t="s">
        <v>294</v>
      </c>
      <c r="N207" s="3">
        <v>45874</v>
      </c>
      <c r="O207" s="2" t="s">
        <v>220</v>
      </c>
      <c r="P207" s="9">
        <v>1000</v>
      </c>
      <c r="Q207" s="54">
        <v>1.3</v>
      </c>
      <c r="R207" s="55">
        <f t="shared" si="72"/>
        <v>1300</v>
      </c>
      <c r="S207" s="56">
        <v>10.513</v>
      </c>
      <c r="T207" s="1">
        <f>Q207*S207</f>
        <v>13.6669</v>
      </c>
      <c r="U207" s="57">
        <f t="shared" si="74"/>
        <v>13666.9</v>
      </c>
      <c r="V207" s="58">
        <f t="shared" si="78"/>
        <v>2172.2768030990301</v>
      </c>
      <c r="W207" s="53">
        <f t="shared" si="76"/>
        <v>15839.17680309903</v>
      </c>
      <c r="AC207" s="1"/>
      <c r="AD207" s="74">
        <f>V207/P207</f>
        <v>2.17227680309903</v>
      </c>
      <c r="AE207" s="98">
        <f>T207+AD207</f>
        <v>15.839176803099029</v>
      </c>
      <c r="AF207" s="1">
        <v>0</v>
      </c>
    </row>
    <row r="208" spans="1:32" x14ac:dyDescent="0.25">
      <c r="A208" s="33" t="s">
        <v>25</v>
      </c>
      <c r="B208" s="60" t="s">
        <v>26</v>
      </c>
      <c r="C208" s="61">
        <v>45856</v>
      </c>
      <c r="D208" s="65" t="s">
        <v>292</v>
      </c>
      <c r="E208" s="60" t="s">
        <v>221</v>
      </c>
      <c r="F208" s="62">
        <v>950</v>
      </c>
      <c r="G208" s="75">
        <v>45897</v>
      </c>
      <c r="H208" s="63" t="s">
        <v>293</v>
      </c>
      <c r="I208" s="60" t="s">
        <v>221</v>
      </c>
      <c r="J208" s="64">
        <v>950</v>
      </c>
      <c r="K208" s="65">
        <f t="shared" si="71"/>
        <v>29.33127</v>
      </c>
      <c r="L208" s="66">
        <f t="shared" si="68"/>
        <v>27864.7065</v>
      </c>
      <c r="M208" s="67" t="s">
        <v>294</v>
      </c>
      <c r="N208" s="61">
        <v>45874</v>
      </c>
      <c r="O208" s="60" t="s">
        <v>221</v>
      </c>
      <c r="P208" s="31">
        <v>950</v>
      </c>
      <c r="Q208" s="68">
        <v>2.79</v>
      </c>
      <c r="R208" s="69">
        <f t="shared" si="72"/>
        <v>2650.5</v>
      </c>
      <c r="S208" s="70">
        <v>10.513</v>
      </c>
      <c r="T208" s="67">
        <f t="shared" si="73"/>
        <v>29.33127</v>
      </c>
      <c r="U208" s="71">
        <f t="shared" si="74"/>
        <v>27864.7065</v>
      </c>
      <c r="V208" s="72">
        <f t="shared" si="78"/>
        <v>2063.6629629440786</v>
      </c>
      <c r="W208" s="66">
        <f t="shared" si="76"/>
        <v>29928.36946294408</v>
      </c>
      <c r="AC208" s="1"/>
      <c r="AD208" s="73">
        <f t="shared" si="66"/>
        <v>2.17227680309903</v>
      </c>
      <c r="AE208" s="67">
        <f t="shared" si="67"/>
        <v>31.503546803099031</v>
      </c>
      <c r="AF208" s="67">
        <v>0</v>
      </c>
    </row>
    <row r="209" spans="1:32" x14ac:dyDescent="0.25">
      <c r="A209" s="33" t="s">
        <v>25</v>
      </c>
      <c r="B209" s="60" t="s">
        <v>187</v>
      </c>
      <c r="C209" s="61">
        <v>45859</v>
      </c>
      <c r="D209" s="65" t="s">
        <v>295</v>
      </c>
      <c r="E209" s="60" t="s">
        <v>75</v>
      </c>
      <c r="F209" s="62">
        <v>24000</v>
      </c>
      <c r="G209" s="61">
        <v>45895</v>
      </c>
      <c r="H209" s="63" t="s">
        <v>296</v>
      </c>
      <c r="I209" s="60" t="s">
        <v>190</v>
      </c>
      <c r="J209" s="64">
        <v>24000</v>
      </c>
      <c r="K209" s="65">
        <f>T209</f>
        <v>11.584540000000001</v>
      </c>
      <c r="L209" s="66">
        <f>K209*J209</f>
        <v>278028.96000000002</v>
      </c>
      <c r="M209" s="67">
        <v>2</v>
      </c>
      <c r="N209" s="61">
        <v>45868</v>
      </c>
      <c r="O209" s="60" t="s">
        <v>190</v>
      </c>
      <c r="P209" s="31">
        <v>24000</v>
      </c>
      <c r="Q209" s="68">
        <v>1.1000000000000001</v>
      </c>
      <c r="R209" s="69">
        <f t="shared" si="72"/>
        <v>26400.000000000004</v>
      </c>
      <c r="S209" s="70">
        <v>10.5314</v>
      </c>
      <c r="T209" s="67">
        <f>Q209*S209</f>
        <v>11.584540000000001</v>
      </c>
      <c r="U209" s="71">
        <f>P209*T209</f>
        <v>278028.96000000002</v>
      </c>
      <c r="V209" s="72">
        <f t="shared" si="78"/>
        <v>52225.890058001612</v>
      </c>
      <c r="W209" s="66">
        <f t="shared" si="76"/>
        <v>330254.85005800164</v>
      </c>
      <c r="X209" s="67"/>
      <c r="Y209" s="62"/>
      <c r="Z209" s="67"/>
      <c r="AA209" s="67"/>
      <c r="AB209" s="67"/>
      <c r="AC209" s="67"/>
      <c r="AD209" s="91">
        <f>V209/P209</f>
        <v>2.1760787524167338</v>
      </c>
      <c r="AE209" s="103">
        <f>T209+AD209</f>
        <v>13.760618752416734</v>
      </c>
      <c r="AF209" s="67">
        <v>0</v>
      </c>
    </row>
    <row r="210" spans="1:32" x14ac:dyDescent="0.25">
      <c r="A210" s="49" t="s">
        <v>31</v>
      </c>
      <c r="B210" s="34" t="s">
        <v>78</v>
      </c>
      <c r="C210" s="35">
        <v>45894</v>
      </c>
      <c r="D210" s="36"/>
      <c r="E210" s="34" t="s">
        <v>125</v>
      </c>
      <c r="F210" s="37">
        <v>1200</v>
      </c>
      <c r="G210" s="35">
        <v>45894</v>
      </c>
      <c r="H210" s="38" t="s">
        <v>297</v>
      </c>
      <c r="I210" s="34" t="s">
        <v>125</v>
      </c>
      <c r="J210" s="39">
        <v>1200</v>
      </c>
      <c r="K210" s="36">
        <v>8.6</v>
      </c>
      <c r="L210" s="40">
        <f t="shared" ref="L210:L213" si="79">K210*J210</f>
        <v>10320</v>
      </c>
      <c r="M210" s="41" t="s">
        <v>298</v>
      </c>
      <c r="N210" s="35">
        <v>45896</v>
      </c>
      <c r="O210" s="34" t="s">
        <v>125</v>
      </c>
      <c r="P210" s="42">
        <v>1200</v>
      </c>
      <c r="Q210" s="43"/>
      <c r="R210" s="44"/>
      <c r="S210" s="45"/>
      <c r="T210" s="41">
        <v>8.6</v>
      </c>
      <c r="U210" s="46">
        <f>+T210*P210</f>
        <v>10320</v>
      </c>
      <c r="V210" s="47"/>
      <c r="W210" s="40">
        <v>12384</v>
      </c>
      <c r="X210" s="41"/>
      <c r="Y210" s="37"/>
      <c r="Z210" s="41"/>
      <c r="AA210" s="41"/>
      <c r="AB210" s="41"/>
      <c r="AC210" s="41"/>
      <c r="AD210" s="48">
        <f t="shared" si="66"/>
        <v>0</v>
      </c>
      <c r="AE210" s="41">
        <f t="shared" si="67"/>
        <v>8.6</v>
      </c>
      <c r="AF210" s="41">
        <v>0</v>
      </c>
    </row>
    <row r="211" spans="1:32" x14ac:dyDescent="0.25">
      <c r="A211" s="49" t="s">
        <v>31</v>
      </c>
      <c r="B211" s="34" t="s">
        <v>70</v>
      </c>
      <c r="C211" s="35">
        <v>45885</v>
      </c>
      <c r="D211" s="36" t="s">
        <v>299</v>
      </c>
      <c r="E211" s="34" t="s">
        <v>72</v>
      </c>
      <c r="F211" s="37">
        <v>16000</v>
      </c>
      <c r="G211" s="35">
        <v>45885</v>
      </c>
      <c r="H211" s="38" t="s">
        <v>300</v>
      </c>
      <c r="I211" s="34" t="s">
        <v>72</v>
      </c>
      <c r="J211" s="39">
        <v>16600</v>
      </c>
      <c r="K211" s="36">
        <v>0.4</v>
      </c>
      <c r="L211" s="40">
        <f>K211*J211</f>
        <v>6640</v>
      </c>
      <c r="M211" s="41">
        <v>545</v>
      </c>
      <c r="N211" s="35">
        <v>45887</v>
      </c>
      <c r="O211" s="34" t="s">
        <v>72</v>
      </c>
      <c r="P211" s="42">
        <v>16600</v>
      </c>
      <c r="Q211" s="43"/>
      <c r="R211" s="44"/>
      <c r="S211" s="45"/>
      <c r="T211" s="41">
        <v>0.4</v>
      </c>
      <c r="U211" s="46">
        <f>T211*P211</f>
        <v>6640</v>
      </c>
      <c r="V211" s="47">
        <v>250</v>
      </c>
      <c r="W211" s="40">
        <f>V211+U211</f>
        <v>6890</v>
      </c>
      <c r="X211" s="41"/>
      <c r="Y211" s="37"/>
      <c r="Z211" s="41"/>
      <c r="AA211" s="41"/>
      <c r="AB211" s="41"/>
      <c r="AC211" s="41"/>
      <c r="AD211" s="90">
        <f>V211/P211</f>
        <v>1.5060240963855422E-2</v>
      </c>
      <c r="AE211" s="101">
        <f>T211+AD211</f>
        <v>0.41506024096385546</v>
      </c>
      <c r="AF211" s="41">
        <v>0</v>
      </c>
    </row>
    <row r="212" spans="1:32" x14ac:dyDescent="0.25">
      <c r="A212" s="49" t="s">
        <v>31</v>
      </c>
      <c r="B212" s="34" t="s">
        <v>301</v>
      </c>
      <c r="C212" s="35">
        <v>45896</v>
      </c>
      <c r="D212" s="36" t="s">
        <v>302</v>
      </c>
      <c r="E212" s="34" t="s">
        <v>125</v>
      </c>
      <c r="F212" s="37">
        <v>6000</v>
      </c>
      <c r="G212" s="35">
        <v>45898</v>
      </c>
      <c r="H212" s="38" t="s">
        <v>303</v>
      </c>
      <c r="I212" s="34" t="s">
        <v>125</v>
      </c>
      <c r="J212" s="39">
        <v>6000</v>
      </c>
      <c r="K212" s="36">
        <v>10</v>
      </c>
      <c r="L212" s="40">
        <f>+K212*J212</f>
        <v>60000</v>
      </c>
      <c r="M212" s="41">
        <v>2025069</v>
      </c>
      <c r="N212" s="35">
        <v>45899</v>
      </c>
      <c r="O212" s="34" t="s">
        <v>125</v>
      </c>
      <c r="P212" s="42">
        <v>6000</v>
      </c>
      <c r="Q212" s="43"/>
      <c r="R212" s="44"/>
      <c r="S212" s="45"/>
      <c r="T212" s="41">
        <v>10</v>
      </c>
      <c r="U212" s="46">
        <f>+T212*P212</f>
        <v>60000</v>
      </c>
      <c r="V212" s="47"/>
      <c r="W212" s="40">
        <f>+U212*1.2</f>
        <v>72000</v>
      </c>
      <c r="X212" s="41"/>
      <c r="Y212" s="37"/>
      <c r="Z212" s="41"/>
      <c r="AA212" s="41"/>
      <c r="AB212" s="41"/>
      <c r="AC212" s="41"/>
      <c r="AD212" s="48">
        <f t="shared" si="66"/>
        <v>0</v>
      </c>
      <c r="AE212" s="41">
        <f t="shared" si="67"/>
        <v>10</v>
      </c>
      <c r="AF212" s="41">
        <v>0</v>
      </c>
    </row>
    <row r="213" spans="1:32" x14ac:dyDescent="0.25">
      <c r="A213" s="49" t="s">
        <v>31</v>
      </c>
      <c r="B213" s="34" t="s">
        <v>32</v>
      </c>
      <c r="C213" s="35">
        <v>45901</v>
      </c>
      <c r="D213" s="36"/>
      <c r="E213" s="34" t="s">
        <v>33</v>
      </c>
      <c r="F213" s="37">
        <v>314</v>
      </c>
      <c r="G213" s="35">
        <v>45901</v>
      </c>
      <c r="H213" s="38" t="s">
        <v>304</v>
      </c>
      <c r="I213" s="34" t="s">
        <v>35</v>
      </c>
      <c r="J213" s="39">
        <v>314</v>
      </c>
      <c r="K213" s="36"/>
      <c r="L213" s="40">
        <f t="shared" si="79"/>
        <v>0</v>
      </c>
      <c r="M213" s="41"/>
      <c r="N213" s="35"/>
      <c r="O213" s="34"/>
      <c r="P213" s="42"/>
      <c r="Q213" s="43"/>
      <c r="R213" s="44"/>
      <c r="S213" s="45"/>
      <c r="T213" s="41"/>
      <c r="U213" s="46"/>
      <c r="V213" s="47"/>
      <c r="W213" s="40"/>
      <c r="X213" s="41"/>
      <c r="Y213" s="37"/>
      <c r="Z213" s="41"/>
      <c r="AA213" s="41"/>
      <c r="AB213" s="41"/>
      <c r="AC213" s="41"/>
      <c r="AD213" s="48" t="e">
        <f t="shared" si="66"/>
        <v>#DIV/0!</v>
      </c>
      <c r="AE213" s="41" t="e">
        <f t="shared" si="67"/>
        <v>#DIV/0!</v>
      </c>
      <c r="AF213" s="41">
        <v>0</v>
      </c>
    </row>
    <row r="214" spans="1:32" x14ac:dyDescent="0.25">
      <c r="A214" s="49" t="s">
        <v>31</v>
      </c>
      <c r="B214" s="34" t="s">
        <v>101</v>
      </c>
      <c r="C214" s="35">
        <v>45908</v>
      </c>
      <c r="D214" s="36" t="s">
        <v>305</v>
      </c>
      <c r="E214" s="34" t="s">
        <v>105</v>
      </c>
      <c r="F214" s="37">
        <v>3000</v>
      </c>
      <c r="G214" s="35">
        <v>45912</v>
      </c>
      <c r="H214" s="38" t="s">
        <v>306</v>
      </c>
      <c r="I214" s="34" t="s">
        <v>105</v>
      </c>
      <c r="J214" s="39">
        <v>3000</v>
      </c>
      <c r="K214" s="36">
        <v>13.5</v>
      </c>
      <c r="L214" s="40">
        <f>+K214*J214</f>
        <v>40500</v>
      </c>
      <c r="M214" s="41" t="s">
        <v>307</v>
      </c>
      <c r="N214" s="35">
        <v>45908</v>
      </c>
      <c r="O214" s="34" t="s">
        <v>105</v>
      </c>
      <c r="P214" s="42">
        <v>3000</v>
      </c>
      <c r="Q214" s="43"/>
      <c r="R214" s="44"/>
      <c r="S214" s="45"/>
      <c r="T214" s="41">
        <v>13.5</v>
      </c>
      <c r="U214" s="46">
        <v>40500</v>
      </c>
      <c r="V214" s="47">
        <v>8100</v>
      </c>
      <c r="W214" s="40">
        <f>+V214+U214</f>
        <v>48600</v>
      </c>
      <c r="X214" s="41"/>
      <c r="Y214" s="37"/>
      <c r="Z214" s="41"/>
      <c r="AA214" s="41"/>
      <c r="AB214" s="41"/>
      <c r="AC214" s="41"/>
      <c r="AD214" s="48">
        <f t="shared" si="66"/>
        <v>2.7</v>
      </c>
      <c r="AE214" s="41">
        <f t="shared" si="67"/>
        <v>16.2</v>
      </c>
      <c r="AF214" s="41">
        <v>0</v>
      </c>
    </row>
    <row r="215" spans="1:32" x14ac:dyDescent="0.25">
      <c r="A215" s="49" t="s">
        <v>31</v>
      </c>
      <c r="B215" s="76" t="s">
        <v>78</v>
      </c>
      <c r="C215" s="77">
        <v>45908</v>
      </c>
      <c r="D215" s="50" t="s">
        <v>308</v>
      </c>
      <c r="E215" s="76" t="s">
        <v>80</v>
      </c>
      <c r="F215" s="78">
        <v>3600</v>
      </c>
      <c r="G215" s="77">
        <v>45912</v>
      </c>
      <c r="H215" s="79" t="s">
        <v>309</v>
      </c>
      <c r="I215" s="76" t="s">
        <v>80</v>
      </c>
      <c r="J215" s="80">
        <v>3600</v>
      </c>
      <c r="K215" s="50">
        <v>4</v>
      </c>
      <c r="L215" s="81">
        <v>14400</v>
      </c>
      <c r="M215" s="82" t="s">
        <v>310</v>
      </c>
      <c r="N215" s="77">
        <v>45911</v>
      </c>
      <c r="O215" s="76" t="s">
        <v>80</v>
      </c>
      <c r="P215" s="83">
        <v>3600</v>
      </c>
      <c r="Q215" s="84"/>
      <c r="R215" s="85"/>
      <c r="S215" s="86"/>
      <c r="T215" s="82">
        <v>4</v>
      </c>
      <c r="U215" s="87">
        <f t="shared" ref="U215:U220" si="80">+T215*P215</f>
        <v>14400</v>
      </c>
      <c r="V215" s="88"/>
      <c r="W215" s="81">
        <f>1.2*U215</f>
        <v>17280</v>
      </c>
      <c r="X215" s="82"/>
      <c r="Y215" s="78"/>
      <c r="Z215" s="82"/>
      <c r="AA215" s="82"/>
      <c r="AB215" s="82"/>
      <c r="AC215" s="82"/>
      <c r="AD215" s="89">
        <f t="shared" si="66"/>
        <v>0</v>
      </c>
      <c r="AE215" s="82">
        <f t="shared" si="67"/>
        <v>4</v>
      </c>
      <c r="AF215" s="82">
        <v>0</v>
      </c>
    </row>
    <row r="216" spans="1:32" x14ac:dyDescent="0.25">
      <c r="A216" s="49" t="s">
        <v>31</v>
      </c>
      <c r="B216" s="2" t="s">
        <v>78</v>
      </c>
      <c r="C216" s="3">
        <v>45908</v>
      </c>
      <c r="D216" s="6" t="s">
        <v>308</v>
      </c>
      <c r="E216" s="2" t="s">
        <v>83</v>
      </c>
      <c r="F216" s="51">
        <v>2000</v>
      </c>
      <c r="G216" s="3">
        <v>45912</v>
      </c>
      <c r="H216" s="4" t="s">
        <v>309</v>
      </c>
      <c r="I216" s="2" t="s">
        <v>83</v>
      </c>
      <c r="J216" s="52">
        <v>2000</v>
      </c>
      <c r="K216" s="6">
        <v>5</v>
      </c>
      <c r="L216" s="53">
        <v>10000</v>
      </c>
      <c r="M216" s="1" t="s">
        <v>310</v>
      </c>
      <c r="N216" s="3">
        <v>45911</v>
      </c>
      <c r="O216" s="2" t="s">
        <v>83</v>
      </c>
      <c r="P216" s="9">
        <v>2000</v>
      </c>
      <c r="Q216" s="54"/>
      <c r="R216" s="55"/>
      <c r="S216" s="56"/>
      <c r="T216" s="1">
        <v>5</v>
      </c>
      <c r="U216" s="57">
        <f t="shared" si="80"/>
        <v>10000</v>
      </c>
      <c r="V216" s="58"/>
      <c r="W216" s="53">
        <f>1.2*U216</f>
        <v>12000</v>
      </c>
      <c r="AC216" s="1"/>
      <c r="AD216" s="59">
        <f t="shared" si="66"/>
        <v>0</v>
      </c>
      <c r="AE216" s="1">
        <f t="shared" si="67"/>
        <v>5</v>
      </c>
      <c r="AF216" s="1">
        <v>0</v>
      </c>
    </row>
    <row r="217" spans="1:32" x14ac:dyDescent="0.25">
      <c r="A217" s="49" t="s">
        <v>31</v>
      </c>
      <c r="B217" s="2" t="s">
        <v>78</v>
      </c>
      <c r="C217" s="3">
        <v>45908</v>
      </c>
      <c r="D217" s="6" t="s">
        <v>308</v>
      </c>
      <c r="E217" s="2" t="s">
        <v>84</v>
      </c>
      <c r="F217" s="51">
        <v>600</v>
      </c>
      <c r="G217" s="3">
        <v>45912</v>
      </c>
      <c r="H217" s="4" t="s">
        <v>309</v>
      </c>
      <c r="I217" s="2" t="s">
        <v>84</v>
      </c>
      <c r="J217" s="52">
        <v>600</v>
      </c>
      <c r="K217" s="6">
        <v>4.3</v>
      </c>
      <c r="L217" s="53">
        <v>2580</v>
      </c>
      <c r="M217" s="1" t="s">
        <v>310</v>
      </c>
      <c r="N217" s="3">
        <v>45911</v>
      </c>
      <c r="O217" s="2" t="s">
        <v>84</v>
      </c>
      <c r="P217" s="9">
        <v>600</v>
      </c>
      <c r="Q217" s="54"/>
      <c r="R217" s="55"/>
      <c r="S217" s="56"/>
      <c r="T217" s="1">
        <v>4.3</v>
      </c>
      <c r="U217" s="57">
        <f t="shared" si="80"/>
        <v>2580</v>
      </c>
      <c r="V217" s="58"/>
      <c r="W217" s="53">
        <f>1.2*U217</f>
        <v>3096</v>
      </c>
      <c r="AC217" s="1"/>
      <c r="AD217" s="59">
        <f t="shared" si="66"/>
        <v>0</v>
      </c>
      <c r="AE217" s="1">
        <f t="shared" si="67"/>
        <v>4.3</v>
      </c>
      <c r="AF217" s="1">
        <v>0</v>
      </c>
    </row>
    <row r="218" spans="1:32" x14ac:dyDescent="0.25">
      <c r="A218" s="49" t="s">
        <v>31</v>
      </c>
      <c r="B218" s="2" t="s">
        <v>78</v>
      </c>
      <c r="C218" s="3">
        <v>45908</v>
      </c>
      <c r="D218" s="6" t="s">
        <v>308</v>
      </c>
      <c r="E218" s="2" t="s">
        <v>122</v>
      </c>
      <c r="F218" s="51">
        <v>500</v>
      </c>
      <c r="G218" s="3">
        <v>45912</v>
      </c>
      <c r="H218" s="4" t="s">
        <v>309</v>
      </c>
      <c r="I218" s="2" t="s">
        <v>122</v>
      </c>
      <c r="J218" s="52">
        <v>500</v>
      </c>
      <c r="K218" s="6">
        <v>6</v>
      </c>
      <c r="L218" s="53">
        <v>3000</v>
      </c>
      <c r="M218" s="1" t="s">
        <v>310</v>
      </c>
      <c r="N218" s="3">
        <v>45911</v>
      </c>
      <c r="O218" s="2" t="s">
        <v>122</v>
      </c>
      <c r="P218" s="9">
        <v>500</v>
      </c>
      <c r="Q218" s="54"/>
      <c r="R218" s="55"/>
      <c r="S218" s="56"/>
      <c r="T218" s="1">
        <v>6</v>
      </c>
      <c r="U218" s="57">
        <f t="shared" si="80"/>
        <v>3000</v>
      </c>
      <c r="V218" s="58"/>
      <c r="W218" s="53">
        <f>1.2*U218</f>
        <v>3600</v>
      </c>
      <c r="AC218" s="1"/>
      <c r="AD218" s="74">
        <f>V218/P218</f>
        <v>0</v>
      </c>
      <c r="AE218" s="1">
        <f t="shared" si="67"/>
        <v>6</v>
      </c>
      <c r="AF218" s="1">
        <v>0</v>
      </c>
    </row>
    <row r="219" spans="1:32" x14ac:dyDescent="0.25">
      <c r="A219" s="49" t="s">
        <v>31</v>
      </c>
      <c r="B219" s="60" t="s">
        <v>78</v>
      </c>
      <c r="C219" s="61">
        <v>45908</v>
      </c>
      <c r="D219" s="65" t="s">
        <v>308</v>
      </c>
      <c r="E219" s="60" t="s">
        <v>87</v>
      </c>
      <c r="F219" s="62">
        <v>100</v>
      </c>
      <c r="G219" s="61">
        <v>45912</v>
      </c>
      <c r="H219" s="63" t="s">
        <v>311</v>
      </c>
      <c r="I219" s="60" t="s">
        <v>87</v>
      </c>
      <c r="J219" s="64">
        <v>100</v>
      </c>
      <c r="K219" s="65">
        <v>9</v>
      </c>
      <c r="L219" s="66">
        <v>900</v>
      </c>
      <c r="M219" s="73" t="s">
        <v>310</v>
      </c>
      <c r="N219" s="61">
        <v>45911</v>
      </c>
      <c r="O219" s="60" t="s">
        <v>87</v>
      </c>
      <c r="P219" s="31">
        <v>100</v>
      </c>
      <c r="Q219" s="68"/>
      <c r="R219" s="69"/>
      <c r="S219" s="70"/>
      <c r="T219" s="67">
        <v>9</v>
      </c>
      <c r="U219" s="71">
        <f t="shared" si="80"/>
        <v>900</v>
      </c>
      <c r="V219" s="72"/>
      <c r="W219" s="66">
        <f>1.2*U219</f>
        <v>1080</v>
      </c>
      <c r="X219" s="67"/>
      <c r="Y219" s="62"/>
      <c r="Z219" s="67"/>
      <c r="AA219" s="67"/>
      <c r="AB219" s="67"/>
      <c r="AC219" s="67"/>
      <c r="AD219" s="73">
        <f t="shared" si="66"/>
        <v>0</v>
      </c>
      <c r="AE219" s="67">
        <f>T219+AD219</f>
        <v>9</v>
      </c>
      <c r="AF219" s="67">
        <v>0</v>
      </c>
    </row>
    <row r="220" spans="1:32" x14ac:dyDescent="0.25">
      <c r="A220" s="49" t="s">
        <v>31</v>
      </c>
      <c r="B220" s="34" t="s">
        <v>139</v>
      </c>
      <c r="C220" s="35">
        <v>45908</v>
      </c>
      <c r="D220" s="36" t="s">
        <v>312</v>
      </c>
      <c r="E220" s="34" t="s">
        <v>313</v>
      </c>
      <c r="F220" s="37">
        <v>2000</v>
      </c>
      <c r="G220" s="35">
        <v>45917</v>
      </c>
      <c r="H220" s="38" t="s">
        <v>314</v>
      </c>
      <c r="I220" s="34" t="s">
        <v>315</v>
      </c>
      <c r="J220" s="39">
        <v>2000</v>
      </c>
      <c r="K220" s="36">
        <v>3.55</v>
      </c>
      <c r="L220" s="40">
        <f>+K220*J220</f>
        <v>7100</v>
      </c>
      <c r="M220" s="41" t="s">
        <v>316</v>
      </c>
      <c r="N220" s="35">
        <v>45916</v>
      </c>
      <c r="O220" s="34" t="s">
        <v>141</v>
      </c>
      <c r="P220" s="42">
        <v>2000</v>
      </c>
      <c r="Q220" s="43"/>
      <c r="R220" s="44"/>
      <c r="S220" s="45"/>
      <c r="T220" s="41">
        <v>3.55</v>
      </c>
      <c r="U220" s="46">
        <f t="shared" si="80"/>
        <v>7100</v>
      </c>
      <c r="V220" s="47">
        <v>0</v>
      </c>
      <c r="W220" s="40">
        <f>+V220+U220</f>
        <v>7100</v>
      </c>
      <c r="X220" s="41"/>
      <c r="Y220" s="37"/>
      <c r="Z220" s="41"/>
      <c r="AA220" s="41"/>
      <c r="AB220" s="41"/>
      <c r="AC220" s="41"/>
      <c r="AD220" s="48">
        <f t="shared" si="66"/>
        <v>0</v>
      </c>
      <c r="AE220" s="41">
        <f t="shared" si="67"/>
        <v>3.55</v>
      </c>
      <c r="AF220" s="41">
        <v>0</v>
      </c>
    </row>
    <row r="221" spans="1:32" x14ac:dyDescent="0.25">
      <c r="A221" s="49" t="s">
        <v>31</v>
      </c>
      <c r="B221" s="34" t="s">
        <v>93</v>
      </c>
      <c r="C221" s="35">
        <v>45875</v>
      </c>
      <c r="D221" s="36" t="s">
        <v>317</v>
      </c>
      <c r="E221" s="34" t="s">
        <v>98</v>
      </c>
      <c r="F221" s="37">
        <v>16000</v>
      </c>
      <c r="G221" s="35">
        <v>45875</v>
      </c>
      <c r="H221" s="38" t="s">
        <v>318</v>
      </c>
      <c r="I221" s="34" t="s">
        <v>95</v>
      </c>
      <c r="J221" s="39">
        <v>16000</v>
      </c>
      <c r="K221" s="36">
        <v>1.4650000000000001</v>
      </c>
      <c r="L221" s="40">
        <f>+K221*J221</f>
        <v>23440</v>
      </c>
      <c r="M221" s="41"/>
      <c r="N221" s="35"/>
      <c r="O221" s="34"/>
      <c r="P221" s="42"/>
      <c r="Q221" s="43"/>
      <c r="R221" s="44"/>
      <c r="S221" s="45"/>
      <c r="T221" s="41"/>
      <c r="U221" s="46"/>
      <c r="V221" s="47"/>
      <c r="W221" s="40"/>
      <c r="X221" s="41"/>
      <c r="Y221" s="37"/>
      <c r="Z221" s="41"/>
      <c r="AA221" s="41"/>
      <c r="AB221" s="41"/>
      <c r="AC221" s="41"/>
      <c r="AD221" s="48" t="e">
        <f t="shared" si="66"/>
        <v>#DIV/0!</v>
      </c>
      <c r="AE221" s="41" t="e">
        <f t="shared" si="67"/>
        <v>#DIV/0!</v>
      </c>
      <c r="AF221" s="41">
        <v>0</v>
      </c>
    </row>
    <row r="222" spans="1:32" x14ac:dyDescent="0.25">
      <c r="A222" s="49" t="s">
        <v>31</v>
      </c>
      <c r="B222" s="34" t="s">
        <v>70</v>
      </c>
      <c r="C222" s="35">
        <v>45916</v>
      </c>
      <c r="D222" s="36"/>
      <c r="E222" s="34" t="s">
        <v>72</v>
      </c>
      <c r="F222" s="37">
        <v>16000</v>
      </c>
      <c r="G222" s="35">
        <v>45916</v>
      </c>
      <c r="H222" s="38" t="s">
        <v>319</v>
      </c>
      <c r="I222" s="34" t="s">
        <v>72</v>
      </c>
      <c r="J222" s="39">
        <v>18540</v>
      </c>
      <c r="K222" s="36">
        <v>0.4</v>
      </c>
      <c r="L222" s="40">
        <f>+K222*J222</f>
        <v>7416</v>
      </c>
      <c r="M222" s="41">
        <v>546</v>
      </c>
      <c r="N222" s="35">
        <v>45918</v>
      </c>
      <c r="O222" s="34" t="s">
        <v>72</v>
      </c>
      <c r="P222" s="42">
        <v>18540</v>
      </c>
      <c r="Q222" s="43"/>
      <c r="R222" s="44"/>
      <c r="S222" s="45"/>
      <c r="T222" s="41">
        <v>0.4</v>
      </c>
      <c r="U222" s="46">
        <f>+T222*P222</f>
        <v>7416</v>
      </c>
      <c r="V222" s="47">
        <v>250</v>
      </c>
      <c r="W222" s="40">
        <f>+V222+U222</f>
        <v>7666</v>
      </c>
      <c r="X222" s="41"/>
      <c r="Y222" s="37"/>
      <c r="Z222" s="41"/>
      <c r="AA222" s="41"/>
      <c r="AB222" s="41"/>
      <c r="AC222" s="41"/>
      <c r="AD222" s="48">
        <f t="shared" si="66"/>
        <v>1.348435814455232E-2</v>
      </c>
      <c r="AE222" s="41">
        <f t="shared" si="67"/>
        <v>0.41348435814455237</v>
      </c>
      <c r="AF222" s="41">
        <v>0</v>
      </c>
    </row>
    <row r="223" spans="1:32" x14ac:dyDescent="0.25">
      <c r="A223" s="49" t="s">
        <v>31</v>
      </c>
      <c r="B223" s="34" t="s">
        <v>32</v>
      </c>
      <c r="C223" s="35">
        <v>45918</v>
      </c>
      <c r="D223" s="36"/>
      <c r="E223" s="34" t="s">
        <v>33</v>
      </c>
      <c r="F223" s="37">
        <v>1280</v>
      </c>
      <c r="G223" s="35">
        <v>45918</v>
      </c>
      <c r="H223" s="38" t="s">
        <v>320</v>
      </c>
      <c r="I223" s="34" t="s">
        <v>35</v>
      </c>
      <c r="J223" s="39">
        <v>1280</v>
      </c>
      <c r="K223" s="36"/>
      <c r="L223" s="40"/>
      <c r="M223" s="41"/>
      <c r="N223" s="35"/>
      <c r="O223" s="34"/>
      <c r="P223" s="42"/>
      <c r="Q223" s="43"/>
      <c r="R223" s="44"/>
      <c r="S223" s="45"/>
      <c r="T223" s="41"/>
      <c r="U223" s="46"/>
      <c r="V223" s="47"/>
      <c r="W223" s="40"/>
      <c r="X223" s="41"/>
      <c r="Y223" s="37"/>
      <c r="Z223" s="41"/>
      <c r="AA223" s="41"/>
      <c r="AB223" s="41"/>
      <c r="AC223" s="41"/>
      <c r="AD223" s="48"/>
      <c r="AE223" s="41"/>
      <c r="AF223" s="41"/>
    </row>
    <row r="224" spans="1:32" x14ac:dyDescent="0.25">
      <c r="A224" s="33" t="s">
        <v>25</v>
      </c>
      <c r="B224" s="76" t="s">
        <v>26</v>
      </c>
      <c r="C224" s="77">
        <v>45859</v>
      </c>
      <c r="D224" s="50" t="s">
        <v>295</v>
      </c>
      <c r="E224" s="76" t="s">
        <v>321</v>
      </c>
      <c r="F224" s="78">
        <v>550</v>
      </c>
      <c r="G224" s="77">
        <v>45917</v>
      </c>
      <c r="H224" s="79" t="s">
        <v>322</v>
      </c>
      <c r="I224" s="76" t="s">
        <v>321</v>
      </c>
      <c r="J224" s="80">
        <v>550</v>
      </c>
      <c r="K224" s="50">
        <f t="shared" ref="K224:K227" si="81">T224</f>
        <v>37.872</v>
      </c>
      <c r="L224" s="81">
        <f t="shared" ref="L224:L243" si="82">K224*J224</f>
        <v>20829.599999999999</v>
      </c>
      <c r="M224" s="82" t="s">
        <v>323</v>
      </c>
      <c r="N224" s="77">
        <v>45877</v>
      </c>
      <c r="O224" s="76" t="s">
        <v>321</v>
      </c>
      <c r="P224" s="83">
        <v>550</v>
      </c>
      <c r="Q224" s="84">
        <v>3.6</v>
      </c>
      <c r="R224" s="85">
        <f t="shared" ref="R224:R235" si="83">P224*Q224</f>
        <v>1980</v>
      </c>
      <c r="S224" s="86">
        <v>10.52</v>
      </c>
      <c r="T224" s="82">
        <f t="shared" ref="T224:T229" si="84">Q224*S224</f>
        <v>37.872</v>
      </c>
      <c r="U224" s="87">
        <f t="shared" ref="U224:U235" si="85">P224*T224</f>
        <v>20829.599999999999</v>
      </c>
      <c r="V224" s="88">
        <f t="shared" ref="V224:V234" si="86">((0.21900826446)*P224)*S224</f>
        <v>1267.1818181655599</v>
      </c>
      <c r="W224" s="81">
        <f t="shared" ref="W224:W235" si="87">U224+V224</f>
        <v>22096.78181816556</v>
      </c>
      <c r="X224" s="82"/>
      <c r="Y224" s="78"/>
      <c r="Z224" s="82"/>
      <c r="AA224" s="82"/>
      <c r="AB224" s="82"/>
      <c r="AC224" s="82"/>
      <c r="AD224" s="89">
        <f t="shared" si="66"/>
        <v>2.3039669421191999</v>
      </c>
      <c r="AE224" s="82">
        <f t="shared" si="67"/>
        <v>40.175966942119203</v>
      </c>
      <c r="AF224" s="82">
        <v>0</v>
      </c>
    </row>
    <row r="225" spans="1:32" x14ac:dyDescent="0.25">
      <c r="A225" s="33" t="s">
        <v>25</v>
      </c>
      <c r="B225" s="2" t="s">
        <v>26</v>
      </c>
      <c r="C225" s="3">
        <v>45859</v>
      </c>
      <c r="D225" s="6" t="s">
        <v>295</v>
      </c>
      <c r="E225" s="2" t="s">
        <v>324</v>
      </c>
      <c r="F225" s="51">
        <v>1100</v>
      </c>
      <c r="G225" s="3">
        <v>45917</v>
      </c>
      <c r="H225" s="4" t="s">
        <v>322</v>
      </c>
      <c r="I225" s="2" t="s">
        <v>324</v>
      </c>
      <c r="J225" s="52">
        <v>1100</v>
      </c>
      <c r="K225" s="6">
        <f t="shared" si="81"/>
        <v>21.04</v>
      </c>
      <c r="L225" s="53">
        <f t="shared" si="82"/>
        <v>23144</v>
      </c>
      <c r="M225" s="1" t="s">
        <v>323</v>
      </c>
      <c r="N225" s="3">
        <v>45877</v>
      </c>
      <c r="O225" s="2" t="s">
        <v>324</v>
      </c>
      <c r="P225" s="9">
        <v>1100</v>
      </c>
      <c r="Q225" s="54">
        <v>2</v>
      </c>
      <c r="R225" s="55">
        <f t="shared" si="83"/>
        <v>2200</v>
      </c>
      <c r="S225" s="56">
        <v>10.52</v>
      </c>
      <c r="T225" s="1">
        <f t="shared" si="84"/>
        <v>21.04</v>
      </c>
      <c r="U225" s="57">
        <f t="shared" si="85"/>
        <v>23144</v>
      </c>
      <c r="V225" s="58">
        <f t="shared" si="86"/>
        <v>2534.3636363311198</v>
      </c>
      <c r="W225" s="53">
        <f t="shared" si="87"/>
        <v>25678.36363633112</v>
      </c>
      <c r="AC225" s="1"/>
      <c r="AD225" s="59">
        <f t="shared" si="66"/>
        <v>2.3039669421191999</v>
      </c>
      <c r="AE225" s="1">
        <f t="shared" si="67"/>
        <v>23.343966942119199</v>
      </c>
      <c r="AF225" s="1">
        <v>0</v>
      </c>
    </row>
    <row r="226" spans="1:32" x14ac:dyDescent="0.25">
      <c r="A226" s="33" t="s">
        <v>25</v>
      </c>
      <c r="B226" s="2" t="s">
        <v>26</v>
      </c>
      <c r="C226" s="3">
        <v>45859</v>
      </c>
      <c r="D226" s="6" t="s">
        <v>295</v>
      </c>
      <c r="E226" s="2" t="s">
        <v>325</v>
      </c>
      <c r="F226" s="51">
        <v>7000</v>
      </c>
      <c r="G226" s="3">
        <v>45917</v>
      </c>
      <c r="H226" s="4" t="s">
        <v>322</v>
      </c>
      <c r="I226" s="2" t="s">
        <v>325</v>
      </c>
      <c r="J226" s="52">
        <v>7000</v>
      </c>
      <c r="K226" s="6">
        <f t="shared" si="81"/>
        <v>7.89</v>
      </c>
      <c r="L226" s="53">
        <f t="shared" si="82"/>
        <v>55230</v>
      </c>
      <c r="M226" s="1" t="s">
        <v>323</v>
      </c>
      <c r="N226" s="3">
        <v>45877</v>
      </c>
      <c r="O226" s="2" t="s">
        <v>325</v>
      </c>
      <c r="P226" s="9">
        <v>7000</v>
      </c>
      <c r="Q226" s="54">
        <v>0.75</v>
      </c>
      <c r="R226" s="55">
        <f t="shared" si="83"/>
        <v>5250</v>
      </c>
      <c r="S226" s="56">
        <v>10.52</v>
      </c>
      <c r="T226" s="1">
        <f t="shared" si="84"/>
        <v>7.89</v>
      </c>
      <c r="U226" s="57">
        <f t="shared" si="85"/>
        <v>55230</v>
      </c>
      <c r="V226" s="58">
        <f t="shared" si="86"/>
        <v>16127.768594834399</v>
      </c>
      <c r="W226" s="53">
        <f t="shared" si="87"/>
        <v>71357.768594834401</v>
      </c>
      <c r="AC226" s="1"/>
      <c r="AD226" s="59">
        <f t="shared" si="66"/>
        <v>2.3039669421191999</v>
      </c>
      <c r="AE226" s="1">
        <f t="shared" si="67"/>
        <v>10.1939669421192</v>
      </c>
      <c r="AF226" s="1">
        <v>0</v>
      </c>
    </row>
    <row r="227" spans="1:32" x14ac:dyDescent="0.25">
      <c r="A227" s="33" t="s">
        <v>25</v>
      </c>
      <c r="B227" s="2" t="s">
        <v>26</v>
      </c>
      <c r="C227" s="3">
        <v>45859</v>
      </c>
      <c r="D227" s="6" t="s">
        <v>295</v>
      </c>
      <c r="E227" s="2" t="s">
        <v>326</v>
      </c>
      <c r="F227" s="51">
        <v>1000</v>
      </c>
      <c r="G227" s="3">
        <v>45917</v>
      </c>
      <c r="H227" s="4" t="s">
        <v>322</v>
      </c>
      <c r="I227" s="2" t="s">
        <v>326</v>
      </c>
      <c r="J227" s="52">
        <v>1000</v>
      </c>
      <c r="K227" s="6">
        <f t="shared" si="81"/>
        <v>20.619199999999999</v>
      </c>
      <c r="L227" s="53">
        <f t="shared" si="82"/>
        <v>20619.2</v>
      </c>
      <c r="M227" s="1" t="s">
        <v>323</v>
      </c>
      <c r="N227" s="3">
        <v>45877</v>
      </c>
      <c r="O227" s="2" t="s">
        <v>326</v>
      </c>
      <c r="P227" s="9">
        <v>1000</v>
      </c>
      <c r="Q227" s="54">
        <v>1.96</v>
      </c>
      <c r="R227" s="55">
        <f t="shared" si="83"/>
        <v>1960</v>
      </c>
      <c r="S227" s="56">
        <v>10.52</v>
      </c>
      <c r="T227" s="1">
        <f t="shared" si="84"/>
        <v>20.619199999999999</v>
      </c>
      <c r="U227" s="57">
        <f t="shared" si="85"/>
        <v>20619.2</v>
      </c>
      <c r="V227" s="58">
        <f t="shared" si="86"/>
        <v>2303.9669421191998</v>
      </c>
      <c r="W227" s="53">
        <f t="shared" si="87"/>
        <v>22923.166942119202</v>
      </c>
      <c r="AC227" s="1"/>
      <c r="AD227" s="59">
        <f t="shared" si="66"/>
        <v>2.3039669421191999</v>
      </c>
      <c r="AE227" s="1">
        <f t="shared" si="67"/>
        <v>22.923166942119199</v>
      </c>
      <c r="AF227" s="1">
        <v>0</v>
      </c>
    </row>
    <row r="228" spans="1:32" x14ac:dyDescent="0.25">
      <c r="A228" s="33" t="s">
        <v>25</v>
      </c>
      <c r="B228" s="2" t="s">
        <v>26</v>
      </c>
      <c r="C228" s="3">
        <v>45859</v>
      </c>
      <c r="D228" s="6" t="s">
        <v>295</v>
      </c>
      <c r="E228" s="2" t="s">
        <v>41</v>
      </c>
      <c r="F228" s="51">
        <v>1100</v>
      </c>
      <c r="G228" s="3">
        <v>45917</v>
      </c>
      <c r="H228" s="4" t="s">
        <v>322</v>
      </c>
      <c r="I228" s="2" t="s">
        <v>41</v>
      </c>
      <c r="J228" s="52">
        <v>1100</v>
      </c>
      <c r="K228" s="6">
        <f>T228</f>
        <v>8.1004000000000005</v>
      </c>
      <c r="L228" s="53">
        <f>K228*J228</f>
        <v>8910.44</v>
      </c>
      <c r="M228" s="1" t="s">
        <v>323</v>
      </c>
      <c r="N228" s="3">
        <v>45877</v>
      </c>
      <c r="O228" s="2" t="s">
        <v>41</v>
      </c>
      <c r="P228" s="9">
        <v>1100</v>
      </c>
      <c r="Q228" s="54">
        <v>0.77</v>
      </c>
      <c r="R228" s="55">
        <f t="shared" si="83"/>
        <v>847</v>
      </c>
      <c r="S228" s="56">
        <v>10.52</v>
      </c>
      <c r="T228" s="1">
        <f t="shared" si="84"/>
        <v>8.1004000000000005</v>
      </c>
      <c r="U228" s="57">
        <f t="shared" si="85"/>
        <v>8910.44</v>
      </c>
      <c r="V228" s="58">
        <f t="shared" si="86"/>
        <v>2534.3636363311198</v>
      </c>
      <c r="W228" s="53">
        <f t="shared" si="87"/>
        <v>11444.80363633112</v>
      </c>
      <c r="AC228" s="1"/>
      <c r="AD228" s="59">
        <f t="shared" si="66"/>
        <v>2.3039669421191999</v>
      </c>
      <c r="AE228" s="1">
        <f t="shared" si="67"/>
        <v>10.4043669421192</v>
      </c>
      <c r="AF228" s="1">
        <v>0</v>
      </c>
    </row>
    <row r="229" spans="1:32" x14ac:dyDescent="0.25">
      <c r="A229" s="33" t="s">
        <v>25</v>
      </c>
      <c r="B229" s="2" t="s">
        <v>26</v>
      </c>
      <c r="C229" s="3">
        <v>45859</v>
      </c>
      <c r="D229" s="6" t="s">
        <v>295</v>
      </c>
      <c r="E229" s="2" t="s">
        <v>42</v>
      </c>
      <c r="F229" s="51">
        <v>1000</v>
      </c>
      <c r="G229" s="3">
        <v>45917</v>
      </c>
      <c r="H229" s="4" t="s">
        <v>322</v>
      </c>
      <c r="I229" s="2" t="s">
        <v>42</v>
      </c>
      <c r="J229" s="52">
        <v>1000</v>
      </c>
      <c r="K229" s="6">
        <f t="shared" ref="K229" si="88">T229</f>
        <v>6.5223999999999993</v>
      </c>
      <c r="L229" s="53">
        <f t="shared" si="82"/>
        <v>6522.4</v>
      </c>
      <c r="M229" s="1" t="s">
        <v>323</v>
      </c>
      <c r="N229" s="3">
        <v>45877</v>
      </c>
      <c r="O229" s="2" t="s">
        <v>42</v>
      </c>
      <c r="P229" s="9">
        <v>1000</v>
      </c>
      <c r="Q229" s="54">
        <v>0.62</v>
      </c>
      <c r="R229" s="55">
        <f t="shared" si="83"/>
        <v>620</v>
      </c>
      <c r="S229" s="56">
        <v>10.52</v>
      </c>
      <c r="T229" s="1">
        <f t="shared" si="84"/>
        <v>6.5223999999999993</v>
      </c>
      <c r="U229" s="57">
        <f>P229*T229</f>
        <v>6522.4</v>
      </c>
      <c r="V229" s="58">
        <f t="shared" si="86"/>
        <v>2303.9669421191998</v>
      </c>
      <c r="W229" s="53">
        <f t="shared" si="87"/>
        <v>8826.3669421191989</v>
      </c>
      <c r="AC229" s="1"/>
      <c r="AD229" s="59">
        <f t="shared" si="66"/>
        <v>2.3039669421191999</v>
      </c>
      <c r="AE229" s="1">
        <f t="shared" si="67"/>
        <v>8.8263669421191988</v>
      </c>
      <c r="AF229" s="1">
        <v>0</v>
      </c>
    </row>
    <row r="230" spans="1:32" x14ac:dyDescent="0.25">
      <c r="A230" s="33" t="s">
        <v>25</v>
      </c>
      <c r="B230" s="2" t="s">
        <v>26</v>
      </c>
      <c r="C230" s="3">
        <v>45859</v>
      </c>
      <c r="D230" s="6" t="s">
        <v>295</v>
      </c>
      <c r="E230" s="2" t="s">
        <v>40</v>
      </c>
      <c r="F230" s="51">
        <v>1000</v>
      </c>
      <c r="G230" s="3">
        <v>45917</v>
      </c>
      <c r="H230" s="4" t="s">
        <v>322</v>
      </c>
      <c r="I230" s="2" t="s">
        <v>40</v>
      </c>
      <c r="J230" s="52">
        <v>1000</v>
      </c>
      <c r="K230" s="6">
        <f>T230</f>
        <v>13.676</v>
      </c>
      <c r="L230" s="53">
        <f t="shared" si="82"/>
        <v>13676</v>
      </c>
      <c r="M230" s="1" t="s">
        <v>323</v>
      </c>
      <c r="N230" s="3">
        <v>45877</v>
      </c>
      <c r="O230" s="2" t="s">
        <v>40</v>
      </c>
      <c r="P230" s="9">
        <v>1000</v>
      </c>
      <c r="Q230" s="54">
        <v>1.3</v>
      </c>
      <c r="R230" s="55">
        <f t="shared" si="83"/>
        <v>1300</v>
      </c>
      <c r="S230" s="56">
        <v>10.52</v>
      </c>
      <c r="T230" s="1">
        <f>Q230*S230</f>
        <v>13.676</v>
      </c>
      <c r="U230" s="57">
        <f t="shared" si="85"/>
        <v>13676</v>
      </c>
      <c r="V230" s="58">
        <f t="shared" si="86"/>
        <v>2303.9669421191998</v>
      </c>
      <c r="W230" s="53">
        <f t="shared" si="87"/>
        <v>15979.966942119199</v>
      </c>
      <c r="AC230" s="1"/>
      <c r="AD230" s="59">
        <f t="shared" si="66"/>
        <v>2.3039669421191999</v>
      </c>
      <c r="AE230" s="1">
        <f t="shared" si="67"/>
        <v>15.9799669421192</v>
      </c>
      <c r="AF230" s="1">
        <v>0</v>
      </c>
    </row>
    <row r="231" spans="1:32" x14ac:dyDescent="0.25">
      <c r="A231" s="33" t="s">
        <v>25</v>
      </c>
      <c r="B231" s="2" t="s">
        <v>26</v>
      </c>
      <c r="C231" s="3">
        <v>45859</v>
      </c>
      <c r="D231" s="6" t="s">
        <v>295</v>
      </c>
      <c r="E231" s="2" t="s">
        <v>44</v>
      </c>
      <c r="F231" s="51">
        <v>1000</v>
      </c>
      <c r="G231" s="3">
        <v>45917</v>
      </c>
      <c r="H231" s="4" t="s">
        <v>322</v>
      </c>
      <c r="I231" s="2" t="s">
        <v>44</v>
      </c>
      <c r="J231" s="52">
        <v>1000</v>
      </c>
      <c r="K231" s="6">
        <f t="shared" ref="K231:K235" si="89">T231</f>
        <v>11.677200000000001</v>
      </c>
      <c r="L231" s="53">
        <f t="shared" si="82"/>
        <v>11677.2</v>
      </c>
      <c r="M231" s="1" t="s">
        <v>323</v>
      </c>
      <c r="N231" s="3">
        <v>45877</v>
      </c>
      <c r="O231" s="2" t="s">
        <v>44</v>
      </c>
      <c r="P231" s="9">
        <v>1000</v>
      </c>
      <c r="Q231" s="54">
        <v>1.1100000000000001</v>
      </c>
      <c r="R231" s="55">
        <f>P231*Q231</f>
        <v>1110</v>
      </c>
      <c r="S231" s="56">
        <v>10.52</v>
      </c>
      <c r="T231" s="1">
        <f t="shared" ref="T231:T235" si="90">Q231*S231</f>
        <v>11.677200000000001</v>
      </c>
      <c r="U231" s="57">
        <f>P231*T231</f>
        <v>11677.2</v>
      </c>
      <c r="V231" s="58">
        <f>((0.21900826446)*P231)*S231</f>
        <v>2303.9669421191998</v>
      </c>
      <c r="W231" s="53">
        <f t="shared" si="87"/>
        <v>13981.1669421192</v>
      </c>
      <c r="AC231" s="1"/>
      <c r="AD231" s="74">
        <f>V231/P231</f>
        <v>2.3039669421191999</v>
      </c>
      <c r="AE231" s="98">
        <f>T231+AD231</f>
        <v>13.9811669421192</v>
      </c>
      <c r="AF231" s="1">
        <v>0</v>
      </c>
    </row>
    <row r="232" spans="1:32" x14ac:dyDescent="0.25">
      <c r="A232" s="33" t="s">
        <v>25</v>
      </c>
      <c r="B232" s="2" t="s">
        <v>26</v>
      </c>
      <c r="C232" s="3">
        <v>45859</v>
      </c>
      <c r="D232" s="6" t="s">
        <v>295</v>
      </c>
      <c r="E232" s="2" t="s">
        <v>147</v>
      </c>
      <c r="F232" s="51">
        <v>1000</v>
      </c>
      <c r="G232" s="3">
        <v>45917</v>
      </c>
      <c r="H232" s="4" t="s">
        <v>322</v>
      </c>
      <c r="I232" s="2" t="s">
        <v>147</v>
      </c>
      <c r="J232" s="52">
        <v>1000</v>
      </c>
      <c r="K232" s="6">
        <f t="shared" si="89"/>
        <v>4.2080000000000002</v>
      </c>
      <c r="L232" s="53">
        <f t="shared" si="82"/>
        <v>4208</v>
      </c>
      <c r="M232" s="1" t="s">
        <v>323</v>
      </c>
      <c r="N232" s="3">
        <v>45877</v>
      </c>
      <c r="O232" s="2" t="s">
        <v>147</v>
      </c>
      <c r="P232" s="9">
        <v>1000</v>
      </c>
      <c r="Q232" s="54">
        <v>0.4</v>
      </c>
      <c r="R232" s="55">
        <f t="shared" si="83"/>
        <v>400</v>
      </c>
      <c r="S232" s="56">
        <v>10.52</v>
      </c>
      <c r="T232" s="1">
        <f t="shared" si="90"/>
        <v>4.2080000000000002</v>
      </c>
      <c r="U232" s="57">
        <f t="shared" si="85"/>
        <v>4208</v>
      </c>
      <c r="V232" s="58">
        <f t="shared" si="86"/>
        <v>2303.9669421191998</v>
      </c>
      <c r="W232" s="53">
        <f>U232+V232</f>
        <v>6511.9669421191993</v>
      </c>
      <c r="AC232" s="1"/>
      <c r="AD232" s="59">
        <f t="shared" si="66"/>
        <v>2.3039669421191999</v>
      </c>
      <c r="AE232" s="1">
        <f t="shared" si="67"/>
        <v>6.5119669421191997</v>
      </c>
      <c r="AF232" s="1">
        <v>0</v>
      </c>
    </row>
    <row r="233" spans="1:32" x14ac:dyDescent="0.25">
      <c r="A233" s="33" t="s">
        <v>25</v>
      </c>
      <c r="B233" s="2" t="s">
        <v>26</v>
      </c>
      <c r="C233" s="3">
        <v>45859</v>
      </c>
      <c r="D233" s="6" t="s">
        <v>295</v>
      </c>
      <c r="E233" s="2" t="s">
        <v>221</v>
      </c>
      <c r="F233" s="51">
        <v>950</v>
      </c>
      <c r="G233" s="3">
        <v>45917</v>
      </c>
      <c r="H233" s="4" t="s">
        <v>322</v>
      </c>
      <c r="I233" s="2" t="s">
        <v>221</v>
      </c>
      <c r="J233" s="52">
        <v>950</v>
      </c>
      <c r="K233" s="6">
        <f t="shared" si="89"/>
        <v>29.3508</v>
      </c>
      <c r="L233" s="53">
        <f t="shared" si="82"/>
        <v>27883.26</v>
      </c>
      <c r="M233" s="1" t="s">
        <v>323</v>
      </c>
      <c r="N233" s="3">
        <v>45877</v>
      </c>
      <c r="O233" s="2" t="s">
        <v>221</v>
      </c>
      <c r="P233" s="9">
        <v>950</v>
      </c>
      <c r="Q233" s="54">
        <v>2.79</v>
      </c>
      <c r="R233" s="55">
        <f t="shared" si="83"/>
        <v>2650.5</v>
      </c>
      <c r="S233" s="56">
        <v>10.52</v>
      </c>
      <c r="T233" s="1">
        <f t="shared" si="90"/>
        <v>29.3508</v>
      </c>
      <c r="U233" s="57">
        <f t="shared" si="85"/>
        <v>27883.26</v>
      </c>
      <c r="V233" s="58">
        <f t="shared" si="86"/>
        <v>2188.76859501324</v>
      </c>
      <c r="W233" s="53">
        <f t="shared" si="87"/>
        <v>30072.028595013238</v>
      </c>
      <c r="AC233" s="1"/>
      <c r="AD233" s="59">
        <f t="shared" ref="AD233:AD314" si="91">V233/P233</f>
        <v>2.3039669421191999</v>
      </c>
      <c r="AE233" s="1">
        <f t="shared" ref="AE233:AE276" si="92">T233+AD233</f>
        <v>31.654766942119199</v>
      </c>
      <c r="AF233" s="1">
        <v>0</v>
      </c>
    </row>
    <row r="234" spans="1:32" x14ac:dyDescent="0.25">
      <c r="A234" s="33" t="s">
        <v>25</v>
      </c>
      <c r="B234" s="2" t="s">
        <v>26</v>
      </c>
      <c r="C234" s="3">
        <v>45859</v>
      </c>
      <c r="D234" s="6" t="s">
        <v>295</v>
      </c>
      <c r="E234" s="2" t="s">
        <v>28</v>
      </c>
      <c r="F234" s="51">
        <v>500</v>
      </c>
      <c r="G234" s="3">
        <v>45917</v>
      </c>
      <c r="H234" s="4" t="s">
        <v>322</v>
      </c>
      <c r="I234" s="2" t="s">
        <v>28</v>
      </c>
      <c r="J234" s="52">
        <v>500</v>
      </c>
      <c r="K234" s="6">
        <f t="shared" si="89"/>
        <v>11.572000000000001</v>
      </c>
      <c r="L234" s="53">
        <f t="shared" si="82"/>
        <v>5786.0000000000009</v>
      </c>
      <c r="M234" s="1" t="s">
        <v>323</v>
      </c>
      <c r="N234" s="3">
        <v>45877</v>
      </c>
      <c r="O234" s="2" t="s">
        <v>28</v>
      </c>
      <c r="P234" s="9">
        <v>500</v>
      </c>
      <c r="Q234" s="54">
        <v>1.1000000000000001</v>
      </c>
      <c r="R234" s="55">
        <f t="shared" si="83"/>
        <v>550</v>
      </c>
      <c r="S234" s="56">
        <v>10.52</v>
      </c>
      <c r="T234" s="1">
        <f t="shared" si="90"/>
        <v>11.572000000000001</v>
      </c>
      <c r="U234" s="57">
        <f t="shared" si="85"/>
        <v>5786.0000000000009</v>
      </c>
      <c r="V234" s="58">
        <f t="shared" si="86"/>
        <v>1151.9834710595999</v>
      </c>
      <c r="W234" s="53">
        <f t="shared" si="87"/>
        <v>6937.9834710596006</v>
      </c>
      <c r="AC234" s="1"/>
      <c r="AD234" s="59">
        <f t="shared" si="91"/>
        <v>2.3039669421191999</v>
      </c>
      <c r="AE234" s="1">
        <f t="shared" si="92"/>
        <v>13.8759669421192</v>
      </c>
      <c r="AF234" s="1">
        <v>0</v>
      </c>
    </row>
    <row r="235" spans="1:32" x14ac:dyDescent="0.25">
      <c r="A235" s="33" t="s">
        <v>25</v>
      </c>
      <c r="B235" s="60" t="s">
        <v>26</v>
      </c>
      <c r="C235" s="61">
        <v>45859</v>
      </c>
      <c r="D235" s="65" t="s">
        <v>295</v>
      </c>
      <c r="E235" s="60" t="s">
        <v>111</v>
      </c>
      <c r="F235" s="62">
        <v>8000</v>
      </c>
      <c r="G235" s="61">
        <v>45917</v>
      </c>
      <c r="H235" s="63" t="s">
        <v>322</v>
      </c>
      <c r="I235" s="60" t="s">
        <v>111</v>
      </c>
      <c r="J235" s="64">
        <v>8000</v>
      </c>
      <c r="K235" s="65">
        <f t="shared" si="89"/>
        <v>15.78</v>
      </c>
      <c r="L235" s="66">
        <f t="shared" si="82"/>
        <v>126240</v>
      </c>
      <c r="M235" s="67" t="s">
        <v>323</v>
      </c>
      <c r="N235" s="61">
        <v>45877</v>
      </c>
      <c r="O235" s="60" t="s">
        <v>111</v>
      </c>
      <c r="P235" s="31">
        <v>8000</v>
      </c>
      <c r="Q235" s="68">
        <v>1.5</v>
      </c>
      <c r="R235" s="69">
        <f t="shared" si="83"/>
        <v>12000</v>
      </c>
      <c r="S235" s="70">
        <v>10.52</v>
      </c>
      <c r="T235" s="67">
        <f t="shared" si="90"/>
        <v>15.78</v>
      </c>
      <c r="U235" s="71">
        <f t="shared" si="85"/>
        <v>126240</v>
      </c>
      <c r="V235" s="72">
        <f>((0.21900826446)*P235)*S235</f>
        <v>18431.735536953598</v>
      </c>
      <c r="W235" s="66">
        <f t="shared" si="87"/>
        <v>144671.73553695361</v>
      </c>
      <c r="X235" s="67"/>
      <c r="Y235" s="62"/>
      <c r="Z235" s="67"/>
      <c r="AA235" s="67"/>
      <c r="AB235" s="67"/>
      <c r="AC235" s="67"/>
      <c r="AD235" s="91">
        <f>V235/P235</f>
        <v>2.3039669421191999</v>
      </c>
      <c r="AE235" s="103">
        <f>T235+AD235</f>
        <v>18.083966942119201</v>
      </c>
      <c r="AF235" s="67">
        <v>0</v>
      </c>
    </row>
    <row r="236" spans="1:32" x14ac:dyDescent="0.25">
      <c r="A236" s="49" t="s">
        <v>31</v>
      </c>
      <c r="B236" s="76" t="s">
        <v>264</v>
      </c>
      <c r="C236" s="77">
        <v>45924</v>
      </c>
      <c r="D236" s="50" t="s">
        <v>327</v>
      </c>
      <c r="E236" s="76" t="s">
        <v>328</v>
      </c>
      <c r="F236" s="78">
        <v>600</v>
      </c>
      <c r="G236" s="77">
        <v>45925</v>
      </c>
      <c r="H236" s="79" t="s">
        <v>329</v>
      </c>
      <c r="I236" s="76" t="s">
        <v>328</v>
      </c>
      <c r="J236" s="80">
        <v>600</v>
      </c>
      <c r="K236" s="50">
        <v>33.9</v>
      </c>
      <c r="L236" s="81">
        <f t="shared" si="82"/>
        <v>20340</v>
      </c>
      <c r="M236" s="82">
        <v>250035</v>
      </c>
      <c r="N236" s="77">
        <v>45930</v>
      </c>
      <c r="O236" s="76" t="s">
        <v>330</v>
      </c>
      <c r="P236" s="83">
        <v>600</v>
      </c>
      <c r="Q236" s="84"/>
      <c r="R236" s="85"/>
      <c r="S236" s="86"/>
      <c r="T236" s="82">
        <v>33.9</v>
      </c>
      <c r="U236" s="87">
        <f t="shared" ref="U236:U244" si="93">+T236*P236</f>
        <v>20340</v>
      </c>
      <c r="V236" s="88"/>
      <c r="W236" s="81"/>
      <c r="X236" s="82"/>
      <c r="Y236" s="78"/>
      <c r="Z236" s="82"/>
      <c r="AA236" s="82"/>
      <c r="AB236" s="82"/>
      <c r="AC236" s="82"/>
      <c r="AD236" s="89">
        <f t="shared" si="91"/>
        <v>0</v>
      </c>
      <c r="AE236" s="82">
        <f t="shared" si="92"/>
        <v>33.9</v>
      </c>
      <c r="AF236" s="82">
        <v>0</v>
      </c>
    </row>
    <row r="237" spans="1:32" x14ac:dyDescent="0.25">
      <c r="A237" s="49" t="s">
        <v>31</v>
      </c>
      <c r="B237" s="60" t="s">
        <v>264</v>
      </c>
      <c r="C237" s="61">
        <v>45924</v>
      </c>
      <c r="D237" s="65" t="s">
        <v>327</v>
      </c>
      <c r="E237" s="60" t="s">
        <v>331</v>
      </c>
      <c r="F237" s="62">
        <v>600</v>
      </c>
      <c r="G237" s="61">
        <v>45925</v>
      </c>
      <c r="H237" s="63" t="s">
        <v>329</v>
      </c>
      <c r="I237" s="60" t="s">
        <v>331</v>
      </c>
      <c r="J237" s="64">
        <v>600</v>
      </c>
      <c r="K237" s="65">
        <v>28.6</v>
      </c>
      <c r="L237" s="66">
        <f t="shared" si="82"/>
        <v>17160</v>
      </c>
      <c r="M237" s="67">
        <v>250035</v>
      </c>
      <c r="N237" s="61">
        <v>45930</v>
      </c>
      <c r="O237" s="60" t="s">
        <v>332</v>
      </c>
      <c r="P237" s="31">
        <v>600</v>
      </c>
      <c r="Q237" s="68"/>
      <c r="R237" s="69"/>
      <c r="S237" s="70"/>
      <c r="T237" s="67">
        <v>28.6</v>
      </c>
      <c r="U237" s="71">
        <f t="shared" si="93"/>
        <v>17160</v>
      </c>
      <c r="V237" s="72"/>
      <c r="W237" s="66"/>
      <c r="X237" s="67"/>
      <c r="Y237" s="62"/>
      <c r="Z237" s="67"/>
      <c r="AA237" s="67"/>
      <c r="AB237" s="67"/>
      <c r="AC237" s="67"/>
      <c r="AD237" s="73">
        <f t="shared" si="91"/>
        <v>0</v>
      </c>
      <c r="AE237" s="67">
        <f t="shared" si="92"/>
        <v>28.6</v>
      </c>
      <c r="AF237" s="67">
        <v>0</v>
      </c>
    </row>
    <row r="238" spans="1:32" x14ac:dyDescent="0.25">
      <c r="A238" s="49" t="s">
        <v>31</v>
      </c>
      <c r="B238" s="76" t="s">
        <v>89</v>
      </c>
      <c r="C238" s="77">
        <v>45716</v>
      </c>
      <c r="D238" s="50" t="s">
        <v>333</v>
      </c>
      <c r="E238" s="76" t="s">
        <v>334</v>
      </c>
      <c r="F238" s="78">
        <v>2000</v>
      </c>
      <c r="G238" s="77">
        <v>45735</v>
      </c>
      <c r="H238" s="79" t="s">
        <v>193</v>
      </c>
      <c r="I238" s="76" t="s">
        <v>334</v>
      </c>
      <c r="J238" s="80">
        <v>2000</v>
      </c>
      <c r="K238" s="50">
        <v>38.5</v>
      </c>
      <c r="L238" s="81">
        <f t="shared" si="82"/>
        <v>77000</v>
      </c>
      <c r="M238" s="82">
        <v>250304</v>
      </c>
      <c r="N238" s="77">
        <v>45747</v>
      </c>
      <c r="O238" s="76" t="s">
        <v>334</v>
      </c>
      <c r="P238" s="83">
        <v>2000</v>
      </c>
      <c r="Q238" s="84"/>
      <c r="R238" s="85"/>
      <c r="S238" s="86"/>
      <c r="T238" s="82">
        <v>38.5</v>
      </c>
      <c r="U238" s="87">
        <f t="shared" si="93"/>
        <v>77000</v>
      </c>
      <c r="V238" s="88"/>
      <c r="W238" s="81"/>
      <c r="X238" s="82"/>
      <c r="Y238" s="78"/>
      <c r="Z238" s="82"/>
      <c r="AA238" s="82"/>
      <c r="AB238" s="82"/>
      <c r="AC238" s="82"/>
      <c r="AD238" s="89">
        <f t="shared" si="91"/>
        <v>0</v>
      </c>
      <c r="AE238" s="82">
        <f t="shared" si="92"/>
        <v>38.5</v>
      </c>
      <c r="AF238" s="82">
        <v>0</v>
      </c>
    </row>
    <row r="239" spans="1:32" x14ac:dyDescent="0.25">
      <c r="A239" s="49" t="s">
        <v>31</v>
      </c>
      <c r="B239" s="60" t="s">
        <v>89</v>
      </c>
      <c r="C239" s="61"/>
      <c r="D239" s="65"/>
      <c r="E239" s="60" t="s">
        <v>91</v>
      </c>
      <c r="F239" s="62">
        <v>140</v>
      </c>
      <c r="G239" s="61">
        <v>45721</v>
      </c>
      <c r="H239" s="63" t="s">
        <v>171</v>
      </c>
      <c r="I239" s="60" t="s">
        <v>91</v>
      </c>
      <c r="J239" s="64">
        <v>140</v>
      </c>
      <c r="K239" s="65">
        <v>32.5</v>
      </c>
      <c r="L239" s="66">
        <f t="shared" si="82"/>
        <v>4550</v>
      </c>
      <c r="M239" s="67">
        <v>250304</v>
      </c>
      <c r="N239" s="61">
        <v>45747</v>
      </c>
      <c r="O239" s="60" t="s">
        <v>91</v>
      </c>
      <c r="P239" s="31">
        <v>140</v>
      </c>
      <c r="Q239" s="68"/>
      <c r="R239" s="69"/>
      <c r="S239" s="70"/>
      <c r="T239" s="67">
        <v>32.5</v>
      </c>
      <c r="U239" s="71">
        <f t="shared" si="93"/>
        <v>4550</v>
      </c>
      <c r="V239" s="72"/>
      <c r="W239" s="66"/>
      <c r="X239" s="67"/>
      <c r="Y239" s="62"/>
      <c r="Z239" s="67"/>
      <c r="AA239" s="67"/>
      <c r="AB239" s="67"/>
      <c r="AC239" s="67"/>
      <c r="AD239" s="73">
        <f t="shared" si="91"/>
        <v>0</v>
      </c>
      <c r="AE239" s="67">
        <f t="shared" si="92"/>
        <v>32.5</v>
      </c>
      <c r="AF239" s="67">
        <v>0</v>
      </c>
    </row>
    <row r="240" spans="1:32" x14ac:dyDescent="0.25">
      <c r="A240" s="49" t="s">
        <v>31</v>
      </c>
      <c r="B240" s="76" t="s">
        <v>89</v>
      </c>
      <c r="C240" s="77"/>
      <c r="D240" s="50"/>
      <c r="E240" s="76" t="s">
        <v>335</v>
      </c>
      <c r="F240" s="78">
        <v>520</v>
      </c>
      <c r="G240" s="77">
        <v>45926</v>
      </c>
      <c r="H240" s="79" t="s">
        <v>336</v>
      </c>
      <c r="I240" s="76" t="s">
        <v>335</v>
      </c>
      <c r="J240" s="80">
        <v>520</v>
      </c>
      <c r="K240" s="50">
        <v>60</v>
      </c>
      <c r="L240" s="81">
        <f t="shared" si="82"/>
        <v>31200</v>
      </c>
      <c r="M240" s="82">
        <v>250908</v>
      </c>
      <c r="N240" s="77">
        <v>45930</v>
      </c>
      <c r="O240" s="76" t="s">
        <v>335</v>
      </c>
      <c r="P240" s="83">
        <v>520</v>
      </c>
      <c r="Q240" s="84"/>
      <c r="R240" s="85"/>
      <c r="S240" s="86"/>
      <c r="T240" s="82">
        <v>60</v>
      </c>
      <c r="U240" s="87">
        <f t="shared" si="93"/>
        <v>31200</v>
      </c>
      <c r="V240" s="88"/>
      <c r="W240" s="81"/>
      <c r="X240" s="82"/>
      <c r="Y240" s="78"/>
      <c r="Z240" s="82"/>
      <c r="AA240" s="82"/>
      <c r="AB240" s="82"/>
      <c r="AC240" s="82"/>
      <c r="AD240" s="92">
        <f>V240/P240</f>
        <v>0</v>
      </c>
      <c r="AE240" s="82">
        <f>T240+AD240</f>
        <v>60</v>
      </c>
      <c r="AF240" s="82">
        <v>0</v>
      </c>
    </row>
    <row r="241" spans="1:32" x14ac:dyDescent="0.25">
      <c r="A241" s="49" t="s">
        <v>31</v>
      </c>
      <c r="B241" s="2" t="s">
        <v>89</v>
      </c>
      <c r="D241" s="6"/>
      <c r="E241" s="2" t="s">
        <v>337</v>
      </c>
      <c r="F241" s="51">
        <v>280</v>
      </c>
      <c r="G241" s="3">
        <v>45926</v>
      </c>
      <c r="H241" s="4" t="s">
        <v>336</v>
      </c>
      <c r="I241" s="2" t="s">
        <v>337</v>
      </c>
      <c r="J241" s="52">
        <v>280</v>
      </c>
      <c r="K241" s="6">
        <v>37.6</v>
      </c>
      <c r="L241" s="53">
        <f t="shared" si="82"/>
        <v>10528</v>
      </c>
      <c r="M241" s="1">
        <v>250908</v>
      </c>
      <c r="N241" s="3">
        <v>45930</v>
      </c>
      <c r="O241" s="2" t="s">
        <v>337</v>
      </c>
      <c r="P241" s="9">
        <v>280</v>
      </c>
      <c r="Q241" s="54"/>
      <c r="R241" s="55"/>
      <c r="S241" s="56"/>
      <c r="T241" s="1">
        <v>37.6</v>
      </c>
      <c r="U241" s="57">
        <f t="shared" si="93"/>
        <v>10528</v>
      </c>
      <c r="V241" s="58"/>
      <c r="AC241" s="1"/>
      <c r="AD241" s="59">
        <f t="shared" si="91"/>
        <v>0</v>
      </c>
      <c r="AE241" s="1">
        <f>T241+AD241</f>
        <v>37.6</v>
      </c>
      <c r="AF241" s="1">
        <v>0</v>
      </c>
    </row>
    <row r="242" spans="1:32" x14ac:dyDescent="0.25">
      <c r="A242" s="49" t="s">
        <v>31</v>
      </c>
      <c r="B242" s="60" t="s">
        <v>89</v>
      </c>
      <c r="C242" s="61"/>
      <c r="D242" s="65"/>
      <c r="E242" s="60" t="s">
        <v>338</v>
      </c>
      <c r="F242" s="62">
        <v>980</v>
      </c>
      <c r="G242" s="61">
        <v>45926</v>
      </c>
      <c r="H242" s="63" t="s">
        <v>336</v>
      </c>
      <c r="I242" s="60" t="s">
        <v>338</v>
      </c>
      <c r="J242" s="64">
        <v>980</v>
      </c>
      <c r="K242" s="65">
        <v>26.8</v>
      </c>
      <c r="L242" s="66">
        <f t="shared" si="82"/>
        <v>26264</v>
      </c>
      <c r="M242" s="67">
        <v>250908</v>
      </c>
      <c r="N242" s="61">
        <v>45930</v>
      </c>
      <c r="O242" s="60" t="s">
        <v>338</v>
      </c>
      <c r="P242" s="31">
        <v>980</v>
      </c>
      <c r="Q242" s="68"/>
      <c r="R242" s="69"/>
      <c r="S242" s="70"/>
      <c r="T242" s="67">
        <v>26.8</v>
      </c>
      <c r="U242" s="71">
        <f t="shared" si="93"/>
        <v>26264</v>
      </c>
      <c r="V242" s="72"/>
      <c r="W242" s="66"/>
      <c r="X242" s="67"/>
      <c r="Y242" s="62"/>
      <c r="Z242" s="67"/>
      <c r="AA242" s="67"/>
      <c r="AB242" s="67"/>
      <c r="AC242" s="67"/>
      <c r="AD242" s="73">
        <f t="shared" si="91"/>
        <v>0</v>
      </c>
      <c r="AE242" s="67">
        <f t="shared" si="92"/>
        <v>26.8</v>
      </c>
      <c r="AF242" s="67">
        <v>0</v>
      </c>
    </row>
    <row r="243" spans="1:32" x14ac:dyDescent="0.25">
      <c r="A243" s="33" t="s">
        <v>25</v>
      </c>
      <c r="B243" s="34" t="s">
        <v>339</v>
      </c>
      <c r="C243" s="35"/>
      <c r="D243" s="36"/>
      <c r="E243" s="34" t="s">
        <v>125</v>
      </c>
      <c r="F243" s="37">
        <v>18000</v>
      </c>
      <c r="G243" s="35">
        <v>45930</v>
      </c>
      <c r="H243" s="38" t="s">
        <v>340</v>
      </c>
      <c r="I243" s="34" t="s">
        <v>341</v>
      </c>
      <c r="J243" s="39">
        <v>18000</v>
      </c>
      <c r="K243" s="36">
        <f t="shared" ref="K243" si="94">T243</f>
        <v>7.7599</v>
      </c>
      <c r="L243" s="40">
        <f t="shared" si="82"/>
        <v>139678.20000000001</v>
      </c>
      <c r="M243" s="41" t="s">
        <v>342</v>
      </c>
      <c r="N243" s="35">
        <v>45912</v>
      </c>
      <c r="O243" s="34" t="s">
        <v>341</v>
      </c>
      <c r="P243" s="42">
        <v>18000</v>
      </c>
      <c r="Q243" s="43">
        <v>0.73</v>
      </c>
      <c r="R243" s="44"/>
      <c r="S243" s="45">
        <v>10.63</v>
      </c>
      <c r="T243" s="41">
        <f t="shared" ref="T243" si="95">Q243*S243</f>
        <v>7.7599</v>
      </c>
      <c r="U243" s="46">
        <f t="shared" si="93"/>
        <v>139678.20000000001</v>
      </c>
      <c r="V243" s="47">
        <v>2500</v>
      </c>
      <c r="W243" s="40">
        <f>+V243+U243</f>
        <v>142178.20000000001</v>
      </c>
      <c r="X243" s="41"/>
      <c r="Y243" s="37"/>
      <c r="Z243" s="41"/>
      <c r="AA243" s="41"/>
      <c r="AB243" s="41"/>
      <c r="AC243" s="41"/>
      <c r="AD243" s="48">
        <f t="shared" si="91"/>
        <v>0.1388888888888889</v>
      </c>
      <c r="AE243" s="41">
        <f t="shared" si="92"/>
        <v>7.8987888888888893</v>
      </c>
      <c r="AF243" s="41">
        <v>0</v>
      </c>
    </row>
    <row r="244" spans="1:32" x14ac:dyDescent="0.25">
      <c r="A244" s="49" t="s">
        <v>31</v>
      </c>
      <c r="B244" s="34" t="s">
        <v>101</v>
      </c>
      <c r="C244" s="35">
        <v>45930</v>
      </c>
      <c r="D244" s="36" t="s">
        <v>343</v>
      </c>
      <c r="E244" s="34" t="s">
        <v>105</v>
      </c>
      <c r="F244" s="37">
        <v>3000</v>
      </c>
      <c r="G244" s="35">
        <v>45933</v>
      </c>
      <c r="H244" s="38" t="s">
        <v>344</v>
      </c>
      <c r="I244" s="34" t="s">
        <v>105</v>
      </c>
      <c r="J244" s="39">
        <v>3000</v>
      </c>
      <c r="K244" s="36">
        <v>13.5</v>
      </c>
      <c r="L244" s="40">
        <f t="shared" ref="L244:L252" si="96">+K244*J244</f>
        <v>40500</v>
      </c>
      <c r="M244" s="41" t="s">
        <v>345</v>
      </c>
      <c r="N244" s="35">
        <v>45932</v>
      </c>
      <c r="O244" s="34" t="s">
        <v>272</v>
      </c>
      <c r="P244" s="42">
        <v>3000</v>
      </c>
      <c r="Q244" s="43"/>
      <c r="R244" s="44"/>
      <c r="S244" s="45"/>
      <c r="T244" s="41">
        <v>13.5</v>
      </c>
      <c r="U244" s="46">
        <f t="shared" si="93"/>
        <v>40500</v>
      </c>
      <c r="V244" s="47">
        <v>8100</v>
      </c>
      <c r="W244" s="40">
        <f>+V244+U244</f>
        <v>48600</v>
      </c>
      <c r="X244" s="41"/>
      <c r="Y244" s="37"/>
      <c r="Z244" s="41"/>
      <c r="AA244" s="41"/>
      <c r="AB244" s="41"/>
      <c r="AC244" s="41"/>
      <c r="AD244" s="48">
        <f t="shared" si="91"/>
        <v>2.7</v>
      </c>
      <c r="AE244" s="41">
        <f t="shared" si="92"/>
        <v>16.2</v>
      </c>
      <c r="AF244" s="41">
        <v>0</v>
      </c>
    </row>
    <row r="245" spans="1:32" x14ac:dyDescent="0.25">
      <c r="A245" s="49" t="s">
        <v>31</v>
      </c>
      <c r="B245" s="76" t="s">
        <v>78</v>
      </c>
      <c r="C245" s="77">
        <v>45931</v>
      </c>
      <c r="D245" s="50" t="s">
        <v>346</v>
      </c>
      <c r="E245" s="76" t="s">
        <v>80</v>
      </c>
      <c r="F245" s="78">
        <v>5400</v>
      </c>
      <c r="G245" s="77">
        <v>45933</v>
      </c>
      <c r="H245" s="79" t="s">
        <v>347</v>
      </c>
      <c r="I245" s="76" t="s">
        <v>80</v>
      </c>
      <c r="J245" s="80">
        <v>5400</v>
      </c>
      <c r="K245" s="50">
        <v>4</v>
      </c>
      <c r="L245" s="81">
        <f t="shared" si="96"/>
        <v>21600</v>
      </c>
      <c r="M245" s="82" t="s">
        <v>348</v>
      </c>
      <c r="N245" s="77">
        <v>45933</v>
      </c>
      <c r="O245" s="76" t="s">
        <v>80</v>
      </c>
      <c r="P245" s="83">
        <v>5400</v>
      </c>
      <c r="Q245" s="84"/>
      <c r="R245" s="85"/>
      <c r="S245" s="86"/>
      <c r="T245" s="82">
        <v>4</v>
      </c>
      <c r="U245" s="87">
        <f>+P245</f>
        <v>5400</v>
      </c>
      <c r="V245" s="88"/>
      <c r="W245" s="81"/>
      <c r="X245" s="82"/>
      <c r="Y245" s="78"/>
      <c r="Z245" s="82"/>
      <c r="AA245" s="82"/>
      <c r="AB245" s="82"/>
      <c r="AC245" s="82"/>
      <c r="AD245" s="89">
        <f t="shared" si="91"/>
        <v>0</v>
      </c>
      <c r="AE245" s="82">
        <f t="shared" si="92"/>
        <v>4</v>
      </c>
      <c r="AF245" s="82">
        <v>0</v>
      </c>
    </row>
    <row r="246" spans="1:32" x14ac:dyDescent="0.25">
      <c r="A246" s="49" t="s">
        <v>31</v>
      </c>
      <c r="B246" s="2" t="s">
        <v>78</v>
      </c>
      <c r="C246" s="3">
        <v>45931</v>
      </c>
      <c r="D246" s="6" t="s">
        <v>346</v>
      </c>
      <c r="E246" s="2" t="s">
        <v>83</v>
      </c>
      <c r="F246" s="51">
        <v>2000</v>
      </c>
      <c r="G246" s="3">
        <v>45933</v>
      </c>
      <c r="H246" s="4" t="s">
        <v>347</v>
      </c>
      <c r="I246" s="2" t="s">
        <v>83</v>
      </c>
      <c r="J246" s="52">
        <v>2000</v>
      </c>
      <c r="K246" s="6">
        <v>5</v>
      </c>
      <c r="L246" s="53">
        <f t="shared" si="96"/>
        <v>10000</v>
      </c>
      <c r="M246" s="1" t="s">
        <v>348</v>
      </c>
      <c r="N246" s="3">
        <v>45933</v>
      </c>
      <c r="O246" s="2" t="s">
        <v>83</v>
      </c>
      <c r="P246" s="9">
        <v>2000</v>
      </c>
      <c r="Q246" s="54"/>
      <c r="R246" s="55"/>
      <c r="S246" s="56"/>
      <c r="T246" s="1">
        <v>5</v>
      </c>
      <c r="U246" s="57">
        <f>+P246</f>
        <v>2000</v>
      </c>
      <c r="V246" s="58"/>
      <c r="AC246" s="1"/>
      <c r="AD246" s="74">
        <f>V246/P246</f>
        <v>0</v>
      </c>
      <c r="AE246" s="1">
        <f t="shared" si="92"/>
        <v>5</v>
      </c>
      <c r="AF246" s="1">
        <v>0</v>
      </c>
    </row>
    <row r="247" spans="1:32" x14ac:dyDescent="0.25">
      <c r="A247" s="49" t="s">
        <v>31</v>
      </c>
      <c r="B247" s="2" t="s">
        <v>78</v>
      </c>
      <c r="C247" s="3">
        <v>45931</v>
      </c>
      <c r="D247" s="6" t="s">
        <v>346</v>
      </c>
      <c r="E247" s="2" t="s">
        <v>122</v>
      </c>
      <c r="F247" s="51">
        <v>1000</v>
      </c>
      <c r="G247" s="3">
        <v>45933</v>
      </c>
      <c r="H247" s="4" t="s">
        <v>347</v>
      </c>
      <c r="I247" s="2" t="s">
        <v>122</v>
      </c>
      <c r="J247" s="52">
        <v>1000</v>
      </c>
      <c r="K247" s="6">
        <v>6</v>
      </c>
      <c r="L247" s="53">
        <f t="shared" si="96"/>
        <v>6000</v>
      </c>
      <c r="M247" s="1" t="s">
        <v>348</v>
      </c>
      <c r="N247" s="3">
        <v>45933</v>
      </c>
      <c r="O247" s="2" t="s">
        <v>122</v>
      </c>
      <c r="P247" s="9">
        <v>1000</v>
      </c>
      <c r="Q247" s="54"/>
      <c r="R247" s="55"/>
      <c r="S247" s="56"/>
      <c r="T247" s="1">
        <v>6</v>
      </c>
      <c r="U247" s="57">
        <f>+P247</f>
        <v>1000</v>
      </c>
      <c r="V247" s="58"/>
      <c r="AC247" s="1"/>
      <c r="AD247" s="59">
        <f t="shared" si="91"/>
        <v>0</v>
      </c>
      <c r="AE247" s="1">
        <f>T247+AD247</f>
        <v>6</v>
      </c>
      <c r="AF247" s="1">
        <v>0</v>
      </c>
    </row>
    <row r="248" spans="1:32" x14ac:dyDescent="0.25">
      <c r="A248" s="49" t="s">
        <v>31</v>
      </c>
      <c r="B248" s="60" t="s">
        <v>78</v>
      </c>
      <c r="C248" s="61">
        <v>45931</v>
      </c>
      <c r="D248" s="65" t="s">
        <v>346</v>
      </c>
      <c r="E248" s="60" t="s">
        <v>85</v>
      </c>
      <c r="F248" s="62">
        <v>2000</v>
      </c>
      <c r="G248" s="61">
        <v>45933</v>
      </c>
      <c r="H248" s="63" t="s">
        <v>347</v>
      </c>
      <c r="I248" s="60" t="s">
        <v>85</v>
      </c>
      <c r="J248" s="64">
        <v>2000</v>
      </c>
      <c r="K248" s="65">
        <v>15</v>
      </c>
      <c r="L248" s="66">
        <f t="shared" si="96"/>
        <v>30000</v>
      </c>
      <c r="M248" s="67" t="s">
        <v>348</v>
      </c>
      <c r="N248" s="61">
        <v>45933</v>
      </c>
      <c r="O248" s="60" t="s">
        <v>85</v>
      </c>
      <c r="P248" s="31">
        <v>2000</v>
      </c>
      <c r="Q248" s="68"/>
      <c r="R248" s="69"/>
      <c r="S248" s="70"/>
      <c r="T248" s="67">
        <v>15</v>
      </c>
      <c r="U248" s="71">
        <f>+P248</f>
        <v>2000</v>
      </c>
      <c r="V248" s="72"/>
      <c r="W248" s="66"/>
      <c r="X248" s="67"/>
      <c r="Y248" s="62"/>
      <c r="Z248" s="67"/>
      <c r="AA248" s="67"/>
      <c r="AB248" s="67"/>
      <c r="AC248" s="67"/>
      <c r="AD248" s="73">
        <f t="shared" si="91"/>
        <v>0</v>
      </c>
      <c r="AE248" s="67">
        <f t="shared" si="92"/>
        <v>15</v>
      </c>
      <c r="AF248" s="67">
        <v>0</v>
      </c>
    </row>
    <row r="249" spans="1:32" x14ac:dyDescent="0.25">
      <c r="A249" s="49" t="s">
        <v>31</v>
      </c>
      <c r="B249" s="76" t="s">
        <v>301</v>
      </c>
      <c r="C249" s="77">
        <v>45932</v>
      </c>
      <c r="D249" s="50" t="s">
        <v>327</v>
      </c>
      <c r="E249" s="76" t="s">
        <v>84</v>
      </c>
      <c r="F249" s="78">
        <v>2000</v>
      </c>
      <c r="G249" s="77">
        <v>45933</v>
      </c>
      <c r="H249" s="79" t="s">
        <v>349</v>
      </c>
      <c r="I249" s="76" t="s">
        <v>84</v>
      </c>
      <c r="J249" s="80">
        <v>2000</v>
      </c>
      <c r="K249" s="50">
        <v>4.5</v>
      </c>
      <c r="L249" s="81">
        <f t="shared" si="96"/>
        <v>9000</v>
      </c>
      <c r="M249" s="82">
        <v>2025094</v>
      </c>
      <c r="N249" s="77">
        <v>45961</v>
      </c>
      <c r="O249" s="76" t="s">
        <v>84</v>
      </c>
      <c r="P249" s="80">
        <v>2000</v>
      </c>
      <c r="Q249" s="84"/>
      <c r="R249" s="85"/>
      <c r="S249" s="86"/>
      <c r="T249" s="82">
        <v>4.5</v>
      </c>
      <c r="U249" s="87"/>
      <c r="V249" s="88"/>
      <c r="W249" s="81"/>
      <c r="X249" s="82"/>
      <c r="Y249" s="78"/>
      <c r="Z249" s="82"/>
      <c r="AA249" s="82"/>
      <c r="AB249" s="82"/>
      <c r="AC249" s="82"/>
      <c r="AD249" s="89">
        <f t="shared" si="91"/>
        <v>0</v>
      </c>
      <c r="AE249" s="82">
        <f t="shared" si="92"/>
        <v>4.5</v>
      </c>
      <c r="AF249" s="82">
        <v>0</v>
      </c>
    </row>
    <row r="250" spans="1:32" x14ac:dyDescent="0.25">
      <c r="A250" s="49" t="s">
        <v>31</v>
      </c>
      <c r="B250" s="60" t="s">
        <v>301</v>
      </c>
      <c r="C250" s="61">
        <v>45932</v>
      </c>
      <c r="D250" s="65" t="s">
        <v>327</v>
      </c>
      <c r="E250" s="60" t="s">
        <v>86</v>
      </c>
      <c r="F250" s="62">
        <v>2000</v>
      </c>
      <c r="G250" s="61">
        <v>45933</v>
      </c>
      <c r="H250" s="63" t="s">
        <v>349</v>
      </c>
      <c r="I250" s="60" t="s">
        <v>86</v>
      </c>
      <c r="J250" s="64">
        <v>2000</v>
      </c>
      <c r="K250" s="65">
        <v>11.5</v>
      </c>
      <c r="L250" s="66">
        <f t="shared" si="96"/>
        <v>23000</v>
      </c>
      <c r="M250" s="67">
        <v>2025094</v>
      </c>
      <c r="N250" s="61">
        <v>45961</v>
      </c>
      <c r="O250" s="60" t="s">
        <v>86</v>
      </c>
      <c r="P250" s="64">
        <v>2250</v>
      </c>
      <c r="Q250" s="68"/>
      <c r="R250" s="69"/>
      <c r="S250" s="70"/>
      <c r="T250" s="67">
        <v>11.5</v>
      </c>
      <c r="U250" s="71"/>
      <c r="V250" s="72"/>
      <c r="W250" s="66"/>
      <c r="X250" s="67"/>
      <c r="Y250" s="62"/>
      <c r="Z250" s="67"/>
      <c r="AA250" s="67"/>
      <c r="AB250" s="67"/>
      <c r="AC250" s="67"/>
      <c r="AD250" s="73">
        <f t="shared" si="91"/>
        <v>0</v>
      </c>
      <c r="AE250" s="67">
        <f t="shared" si="92"/>
        <v>11.5</v>
      </c>
      <c r="AF250" s="67">
        <v>0</v>
      </c>
    </row>
    <row r="251" spans="1:32" x14ac:dyDescent="0.25">
      <c r="A251" s="49" t="s">
        <v>31</v>
      </c>
      <c r="B251" s="104" t="s">
        <v>301</v>
      </c>
      <c r="C251" s="105">
        <v>45918</v>
      </c>
      <c r="D251" s="106" t="s">
        <v>350</v>
      </c>
      <c r="E251" s="104" t="s">
        <v>125</v>
      </c>
      <c r="F251" s="107">
        <v>6000</v>
      </c>
      <c r="G251" s="105">
        <v>45898</v>
      </c>
      <c r="H251" s="108" t="s">
        <v>303</v>
      </c>
      <c r="I251" s="104" t="s">
        <v>125</v>
      </c>
      <c r="J251" s="109">
        <v>6000</v>
      </c>
      <c r="K251" s="106">
        <v>10</v>
      </c>
      <c r="L251" s="110">
        <f t="shared" si="96"/>
        <v>60000</v>
      </c>
      <c r="M251" s="111">
        <v>2025079</v>
      </c>
      <c r="N251" s="105">
        <v>45930</v>
      </c>
      <c r="O251" s="104" t="s">
        <v>125</v>
      </c>
      <c r="P251" s="112">
        <v>6000</v>
      </c>
      <c r="Q251" s="113"/>
      <c r="R251" s="114"/>
      <c r="S251" s="115"/>
      <c r="T251" s="111">
        <v>10</v>
      </c>
      <c r="U251" s="116"/>
      <c r="V251" s="117"/>
      <c r="W251" s="110"/>
      <c r="X251" s="111"/>
      <c r="Y251" s="107"/>
      <c r="Z251" s="111"/>
      <c r="AA251" s="111"/>
      <c r="AB251" s="111"/>
      <c r="AC251" s="111"/>
      <c r="AD251" s="118">
        <f t="shared" si="91"/>
        <v>0</v>
      </c>
      <c r="AE251" s="41">
        <f t="shared" si="92"/>
        <v>10</v>
      </c>
      <c r="AF251" s="41">
        <v>0</v>
      </c>
    </row>
    <row r="252" spans="1:32" x14ac:dyDescent="0.25">
      <c r="A252" s="49" t="s">
        <v>31</v>
      </c>
      <c r="B252" s="34" t="s">
        <v>74</v>
      </c>
      <c r="C252" s="35">
        <v>45932</v>
      </c>
      <c r="D252" s="36" t="s">
        <v>351</v>
      </c>
      <c r="E252" s="34" t="s">
        <v>75</v>
      </c>
      <c r="F252" s="37">
        <v>6000</v>
      </c>
      <c r="G252" s="35">
        <v>45941</v>
      </c>
      <c r="H252" s="38" t="s">
        <v>352</v>
      </c>
      <c r="I252" s="34" t="s">
        <v>353</v>
      </c>
      <c r="J252" s="39">
        <v>6000</v>
      </c>
      <c r="K252" s="36">
        <v>11.9</v>
      </c>
      <c r="L252" s="40">
        <f t="shared" si="96"/>
        <v>71400</v>
      </c>
      <c r="M252" s="41">
        <v>148416</v>
      </c>
      <c r="N252" s="35">
        <v>45940</v>
      </c>
      <c r="O252" s="34" t="s">
        <v>77</v>
      </c>
      <c r="P252" s="42">
        <v>6000</v>
      </c>
      <c r="Q252" s="43"/>
      <c r="R252" s="44"/>
      <c r="S252" s="45"/>
      <c r="T252" s="41">
        <v>11.9</v>
      </c>
      <c r="U252" s="46">
        <f>+T252*P252</f>
        <v>71400</v>
      </c>
      <c r="V252" s="47">
        <v>14280</v>
      </c>
      <c r="W252" s="40">
        <f>+V252+U252</f>
        <v>85680</v>
      </c>
      <c r="X252" s="41"/>
      <c r="Y252" s="37"/>
      <c r="Z252" s="41"/>
      <c r="AA252" s="41"/>
      <c r="AB252" s="41"/>
      <c r="AC252" s="41"/>
      <c r="AD252" s="90">
        <f>V252/P252</f>
        <v>2.38</v>
      </c>
      <c r="AE252" s="1">
        <f t="shared" si="92"/>
        <v>14.280000000000001</v>
      </c>
      <c r="AF252" s="1">
        <v>0</v>
      </c>
    </row>
    <row r="253" spans="1:32" x14ac:dyDescent="0.25">
      <c r="A253" s="33" t="s">
        <v>25</v>
      </c>
      <c r="B253" s="34" t="s">
        <v>187</v>
      </c>
      <c r="C253" s="35">
        <v>45875</v>
      </c>
      <c r="D253" s="36" t="s">
        <v>354</v>
      </c>
      <c r="E253" s="34" t="s">
        <v>75</v>
      </c>
      <c r="F253" s="37">
        <v>24000</v>
      </c>
      <c r="G253" s="35">
        <v>45947</v>
      </c>
      <c r="H253" s="38" t="s">
        <v>355</v>
      </c>
      <c r="I253" s="34" t="s">
        <v>356</v>
      </c>
      <c r="J253" s="39">
        <v>24000</v>
      </c>
      <c r="K253" s="36">
        <f t="shared" ref="K253" si="97">T253</f>
        <v>11.682</v>
      </c>
      <c r="L253" s="40">
        <f>K253*J253</f>
        <v>280368</v>
      </c>
      <c r="M253" s="41">
        <v>4</v>
      </c>
      <c r="N253" s="35">
        <v>45931</v>
      </c>
      <c r="O253" s="34" t="s">
        <v>356</v>
      </c>
      <c r="P253" s="42">
        <v>24000</v>
      </c>
      <c r="Q253" s="43">
        <v>1.1000000000000001</v>
      </c>
      <c r="R253" s="44"/>
      <c r="S253" s="45">
        <v>10.62</v>
      </c>
      <c r="T253" s="41">
        <f t="shared" ref="T253" si="98">Q253*S253</f>
        <v>11.682</v>
      </c>
      <c r="U253" s="46">
        <f>P253*T253</f>
        <v>280368</v>
      </c>
      <c r="V253" s="47"/>
      <c r="W253" s="40"/>
      <c r="X253" s="41"/>
      <c r="Y253" s="37"/>
      <c r="Z253" s="41"/>
      <c r="AA253" s="41"/>
      <c r="AB253" s="41"/>
      <c r="AC253" s="41"/>
      <c r="AD253" s="48">
        <f t="shared" ref="AD253" si="99">V253/P253</f>
        <v>0</v>
      </c>
      <c r="AE253" s="41">
        <f>T253+AD253</f>
        <v>11.682</v>
      </c>
      <c r="AF253" s="41">
        <v>0</v>
      </c>
    </row>
    <row r="254" spans="1:32" x14ac:dyDescent="0.25">
      <c r="A254" s="49" t="s">
        <v>31</v>
      </c>
      <c r="B254" s="34" t="s">
        <v>357</v>
      </c>
      <c r="C254" s="35">
        <v>45964</v>
      </c>
      <c r="D254" s="36" t="s">
        <v>358</v>
      </c>
      <c r="E254" s="34" t="s">
        <v>359</v>
      </c>
      <c r="F254" s="37">
        <v>600</v>
      </c>
      <c r="G254" s="35">
        <v>45965</v>
      </c>
      <c r="H254" s="38" t="s">
        <v>360</v>
      </c>
      <c r="I254" s="34" t="s">
        <v>359</v>
      </c>
      <c r="J254" s="39">
        <v>700</v>
      </c>
      <c r="K254" s="36">
        <v>35.5</v>
      </c>
      <c r="L254" s="40">
        <f>+K254*J254</f>
        <v>24850</v>
      </c>
      <c r="M254" s="41">
        <v>308537</v>
      </c>
      <c r="N254" s="35">
        <v>45964</v>
      </c>
      <c r="O254" s="34" t="s">
        <v>359</v>
      </c>
      <c r="P254" s="42">
        <v>700</v>
      </c>
      <c r="Q254" s="43"/>
      <c r="R254" s="44"/>
      <c r="S254" s="45"/>
      <c r="T254" s="41">
        <v>35.5</v>
      </c>
      <c r="U254" s="46">
        <f>+T254*P254</f>
        <v>24850</v>
      </c>
      <c r="V254" s="47">
        <v>29820</v>
      </c>
      <c r="W254" s="40">
        <f>+V254+U254</f>
        <v>54670</v>
      </c>
      <c r="X254" s="41"/>
      <c r="Y254" s="37"/>
      <c r="Z254" s="41"/>
      <c r="AA254" s="41"/>
      <c r="AB254" s="41"/>
      <c r="AC254" s="41"/>
      <c r="AD254" s="48">
        <f t="shared" si="91"/>
        <v>42.6</v>
      </c>
      <c r="AE254" s="41">
        <f t="shared" si="92"/>
        <v>78.099999999999994</v>
      </c>
      <c r="AF254" s="41">
        <v>0</v>
      </c>
    </row>
    <row r="255" spans="1:32" x14ac:dyDescent="0.25">
      <c r="A255" s="49" t="s">
        <v>31</v>
      </c>
      <c r="B255" s="34" t="s">
        <v>264</v>
      </c>
      <c r="C255" s="35">
        <v>45964</v>
      </c>
      <c r="D255" s="36" t="s">
        <v>361</v>
      </c>
      <c r="E255" s="34" t="s">
        <v>362</v>
      </c>
      <c r="F255" s="37">
        <v>2000</v>
      </c>
      <c r="G255" s="35">
        <v>45965</v>
      </c>
      <c r="H255" s="38" t="s">
        <v>363</v>
      </c>
      <c r="I255" s="34" t="s">
        <v>362</v>
      </c>
      <c r="J255" s="39">
        <v>2000</v>
      </c>
      <c r="K255" s="36">
        <v>27</v>
      </c>
      <c r="L255" s="40">
        <f>+K255*J255</f>
        <v>54000</v>
      </c>
      <c r="M255" s="41">
        <v>250043</v>
      </c>
      <c r="N255" s="35">
        <v>45964</v>
      </c>
      <c r="O255" s="34" t="s">
        <v>362</v>
      </c>
      <c r="P255" s="42">
        <v>2000</v>
      </c>
      <c r="Q255" s="43"/>
      <c r="R255" s="44"/>
      <c r="S255" s="45"/>
      <c r="T255" s="41">
        <v>27</v>
      </c>
      <c r="U255" s="46">
        <f>+T255*P255</f>
        <v>54000</v>
      </c>
      <c r="V255" s="47">
        <v>10800</v>
      </c>
      <c r="W255" s="40">
        <f>+V255+U255</f>
        <v>64800</v>
      </c>
      <c r="X255" s="41"/>
      <c r="Y255" s="37"/>
      <c r="Z255" s="41"/>
      <c r="AA255" s="41"/>
      <c r="AB255" s="41"/>
      <c r="AC255" s="41"/>
      <c r="AD255" s="48">
        <f t="shared" si="91"/>
        <v>5.4</v>
      </c>
      <c r="AE255" s="41">
        <f t="shared" si="92"/>
        <v>32.4</v>
      </c>
      <c r="AF255" s="41">
        <v>0</v>
      </c>
    </row>
    <row r="256" spans="1:32" x14ac:dyDescent="0.25">
      <c r="A256" s="49" t="s">
        <v>31</v>
      </c>
      <c r="B256" s="34" t="s">
        <v>70</v>
      </c>
      <c r="C256" s="35">
        <v>45957</v>
      </c>
      <c r="D256" s="36" t="s">
        <v>361</v>
      </c>
      <c r="E256" s="34" t="s">
        <v>72</v>
      </c>
      <c r="F256" s="37">
        <v>16000</v>
      </c>
      <c r="G256" s="35">
        <v>45958</v>
      </c>
      <c r="H256" s="38" t="s">
        <v>364</v>
      </c>
      <c r="I256" s="34" t="s">
        <v>72</v>
      </c>
      <c r="J256" s="39">
        <v>18680</v>
      </c>
      <c r="K256" s="36">
        <v>0.4</v>
      </c>
      <c r="L256" s="40">
        <f>+K256*J256</f>
        <v>7472</v>
      </c>
      <c r="M256" s="41">
        <v>549</v>
      </c>
      <c r="N256" s="35">
        <v>45959</v>
      </c>
      <c r="O256" s="34" t="s">
        <v>72</v>
      </c>
      <c r="P256" s="42">
        <v>18680</v>
      </c>
      <c r="Q256" s="43"/>
      <c r="R256" s="44"/>
      <c r="S256" s="45"/>
      <c r="T256" s="41">
        <v>0.4</v>
      </c>
      <c r="U256" s="46">
        <f>+T256*P256</f>
        <v>7472</v>
      </c>
      <c r="V256" s="47">
        <v>300</v>
      </c>
      <c r="W256" s="40">
        <f>+V256+U256</f>
        <v>7772</v>
      </c>
      <c r="X256" s="41"/>
      <c r="Y256" s="37"/>
      <c r="Z256" s="41"/>
      <c r="AA256" s="41"/>
      <c r="AB256" s="41"/>
      <c r="AC256" s="41"/>
      <c r="AD256" s="90">
        <f>V256/P256</f>
        <v>1.6059957173447537E-2</v>
      </c>
      <c r="AE256" s="101">
        <f>T256+AD256</f>
        <v>0.41605995717344757</v>
      </c>
      <c r="AF256" s="41">
        <v>0</v>
      </c>
    </row>
    <row r="257" spans="1:32" x14ac:dyDescent="0.25">
      <c r="A257" s="49" t="s">
        <v>31</v>
      </c>
      <c r="B257" s="34" t="s">
        <v>93</v>
      </c>
      <c r="C257" s="35">
        <v>45948</v>
      </c>
      <c r="D257" s="36"/>
      <c r="E257" s="34"/>
      <c r="F257" s="37"/>
      <c r="G257" s="35">
        <v>45948</v>
      </c>
      <c r="H257" s="38" t="s">
        <v>365</v>
      </c>
      <c r="I257" s="34" t="s">
        <v>95</v>
      </c>
      <c r="J257" s="39">
        <v>16000</v>
      </c>
      <c r="K257" s="36">
        <v>1.4650000000000001</v>
      </c>
      <c r="L257" s="40">
        <f>+K257*J257</f>
        <v>23440</v>
      </c>
      <c r="M257" s="41" t="s">
        <v>366</v>
      </c>
      <c r="N257" s="77">
        <v>45947</v>
      </c>
      <c r="O257" s="34" t="s">
        <v>98</v>
      </c>
      <c r="P257" s="42">
        <v>16000</v>
      </c>
      <c r="Q257" s="43"/>
      <c r="R257" s="44"/>
      <c r="S257" s="45"/>
      <c r="T257" s="41">
        <v>1.4650000000000001</v>
      </c>
      <c r="U257" s="46">
        <f>+T257*P257</f>
        <v>23440</v>
      </c>
      <c r="V257" s="88">
        <v>4688</v>
      </c>
      <c r="W257" s="40">
        <f>+V257+U257</f>
        <v>28128</v>
      </c>
      <c r="X257" s="41"/>
      <c r="Y257" s="37"/>
      <c r="Z257" s="41"/>
      <c r="AA257" s="41"/>
      <c r="AB257" s="41"/>
      <c r="AC257" s="41"/>
      <c r="AD257" s="48">
        <f t="shared" si="91"/>
        <v>0.29299999999999998</v>
      </c>
      <c r="AE257" s="41">
        <f t="shared" si="92"/>
        <v>1.758</v>
      </c>
      <c r="AF257" s="41"/>
    </row>
    <row r="258" spans="1:32" x14ac:dyDescent="0.25">
      <c r="A258" s="33" t="s">
        <v>25</v>
      </c>
      <c r="B258" s="76" t="s">
        <v>47</v>
      </c>
      <c r="C258" s="77">
        <v>45916</v>
      </c>
      <c r="D258" s="50" t="s">
        <v>367</v>
      </c>
      <c r="E258" s="76" t="s">
        <v>48</v>
      </c>
      <c r="F258" s="78">
        <v>1000</v>
      </c>
      <c r="G258" s="77">
        <v>45956</v>
      </c>
      <c r="H258" s="4" t="s">
        <v>368</v>
      </c>
      <c r="I258" s="76" t="s">
        <v>48</v>
      </c>
      <c r="J258" s="80">
        <v>1000</v>
      </c>
      <c r="K258" s="6">
        <f t="shared" ref="K258:K279" si="100">T258</f>
        <v>16.585000000000001</v>
      </c>
      <c r="L258" s="81">
        <f t="shared" ref="L258:L265" si="101">K258*J258</f>
        <v>16585</v>
      </c>
      <c r="M258" s="82" t="s">
        <v>369</v>
      </c>
      <c r="N258" s="3">
        <v>45931</v>
      </c>
      <c r="O258" s="76" t="s">
        <v>48</v>
      </c>
      <c r="P258" s="83">
        <v>1000</v>
      </c>
      <c r="Q258" s="84">
        <v>1.55</v>
      </c>
      <c r="R258" s="85">
        <f t="shared" ref="R258:R279" si="102">P258*Q258</f>
        <v>1550</v>
      </c>
      <c r="S258" s="119">
        <v>10.7</v>
      </c>
      <c r="T258" s="82">
        <f t="shared" ref="T258:T279" si="103">Q258*S258</f>
        <v>16.585000000000001</v>
      </c>
      <c r="U258" s="87">
        <f t="shared" ref="U258:U279" si="104">P258*T258</f>
        <v>16585</v>
      </c>
      <c r="V258" s="58">
        <f>((0.21900826446)*P258)*S258</f>
        <v>2343.3884297219997</v>
      </c>
      <c r="W258" s="81">
        <f t="shared" ref="W258:W279" si="105">U258+V258</f>
        <v>18928.388429721999</v>
      </c>
      <c r="X258" s="82"/>
      <c r="Y258" s="78"/>
      <c r="Z258" s="82"/>
      <c r="AA258" s="82"/>
      <c r="AB258" s="82"/>
      <c r="AC258" s="82"/>
      <c r="AD258" s="89">
        <f t="shared" si="91"/>
        <v>2.3433884297219998</v>
      </c>
      <c r="AE258" s="82">
        <f t="shared" si="92"/>
        <v>18.928388429722002</v>
      </c>
      <c r="AF258" s="82">
        <v>0</v>
      </c>
    </row>
    <row r="259" spans="1:32" x14ac:dyDescent="0.25">
      <c r="A259" s="33" t="s">
        <v>25</v>
      </c>
      <c r="B259" s="2" t="s">
        <v>47</v>
      </c>
      <c r="C259" s="3">
        <v>45916</v>
      </c>
      <c r="D259" s="6" t="s">
        <v>367</v>
      </c>
      <c r="E259" s="2" t="s">
        <v>52</v>
      </c>
      <c r="F259" s="51">
        <v>1000</v>
      </c>
      <c r="G259" s="3">
        <v>45956</v>
      </c>
      <c r="H259" s="4" t="s">
        <v>370</v>
      </c>
      <c r="I259" s="2" t="s">
        <v>52</v>
      </c>
      <c r="J259" s="52">
        <v>1000</v>
      </c>
      <c r="K259" s="6">
        <f t="shared" si="100"/>
        <v>9.202</v>
      </c>
      <c r="L259" s="53">
        <f t="shared" si="101"/>
        <v>9202</v>
      </c>
      <c r="M259" s="1" t="s">
        <v>369</v>
      </c>
      <c r="N259" s="3">
        <v>45931</v>
      </c>
      <c r="O259" s="2" t="s">
        <v>52</v>
      </c>
      <c r="P259" s="9">
        <v>1000</v>
      </c>
      <c r="Q259" s="54">
        <v>0.86</v>
      </c>
      <c r="R259" s="55">
        <f t="shared" si="102"/>
        <v>860</v>
      </c>
      <c r="S259" s="119">
        <v>10.7</v>
      </c>
      <c r="T259" s="1">
        <f t="shared" si="103"/>
        <v>9.202</v>
      </c>
      <c r="U259" s="57">
        <f t="shared" si="104"/>
        <v>9202</v>
      </c>
      <c r="V259" s="58">
        <f t="shared" ref="V259:V272" si="106">((0.21900826446)*P259)*S259</f>
        <v>2343.3884297219997</v>
      </c>
      <c r="W259" s="53">
        <f t="shared" si="105"/>
        <v>11545.388429721999</v>
      </c>
      <c r="AC259" s="1"/>
      <c r="AD259" s="59">
        <f t="shared" si="91"/>
        <v>2.3433884297219998</v>
      </c>
      <c r="AE259" s="1">
        <f t="shared" si="92"/>
        <v>11.545388429721999</v>
      </c>
      <c r="AF259" s="1">
        <v>0</v>
      </c>
    </row>
    <row r="260" spans="1:32" x14ac:dyDescent="0.25">
      <c r="A260" s="33" t="s">
        <v>25</v>
      </c>
      <c r="B260" s="2" t="s">
        <v>47</v>
      </c>
      <c r="C260" s="3">
        <v>45916</v>
      </c>
      <c r="D260" s="6" t="s">
        <v>367</v>
      </c>
      <c r="E260" s="2" t="s">
        <v>109</v>
      </c>
      <c r="F260" s="51">
        <v>1000</v>
      </c>
      <c r="G260" s="3">
        <v>45956</v>
      </c>
      <c r="H260" s="4" t="s">
        <v>371</v>
      </c>
      <c r="I260" s="2" t="s">
        <v>109</v>
      </c>
      <c r="J260" s="52">
        <v>1000</v>
      </c>
      <c r="K260" s="6">
        <f t="shared" si="100"/>
        <v>16.049999999999997</v>
      </c>
      <c r="L260" s="53">
        <f t="shared" si="101"/>
        <v>16049.999999999996</v>
      </c>
      <c r="M260" s="1" t="s">
        <v>369</v>
      </c>
      <c r="N260" s="3">
        <v>45931</v>
      </c>
      <c r="O260" s="2" t="s">
        <v>109</v>
      </c>
      <c r="P260" s="9">
        <v>1000</v>
      </c>
      <c r="Q260" s="54">
        <v>1.5</v>
      </c>
      <c r="R260" s="55">
        <f t="shared" si="102"/>
        <v>1500</v>
      </c>
      <c r="S260" s="119">
        <v>10.7</v>
      </c>
      <c r="T260" s="1">
        <f t="shared" si="103"/>
        <v>16.049999999999997</v>
      </c>
      <c r="U260" s="57">
        <f t="shared" si="104"/>
        <v>16049.999999999996</v>
      </c>
      <c r="V260" s="58">
        <f t="shared" si="106"/>
        <v>2343.3884297219997</v>
      </c>
      <c r="W260" s="53">
        <f t="shared" si="105"/>
        <v>18393.388429721996</v>
      </c>
      <c r="AC260" s="1"/>
      <c r="AD260" s="59">
        <f t="shared" si="91"/>
        <v>2.3433884297219998</v>
      </c>
      <c r="AE260" s="1">
        <f t="shared" si="92"/>
        <v>18.393388429721998</v>
      </c>
      <c r="AF260" s="1">
        <v>0</v>
      </c>
    </row>
    <row r="261" spans="1:32" x14ac:dyDescent="0.25">
      <c r="A261" s="33" t="s">
        <v>25</v>
      </c>
      <c r="B261" s="2" t="s">
        <v>47</v>
      </c>
      <c r="C261" s="3">
        <v>45916</v>
      </c>
      <c r="D261" s="6" t="s">
        <v>367</v>
      </c>
      <c r="E261" s="2" t="s">
        <v>111</v>
      </c>
      <c r="F261" s="51">
        <v>1000</v>
      </c>
      <c r="G261" s="3">
        <v>45956</v>
      </c>
      <c r="H261" s="4" t="s">
        <v>372</v>
      </c>
      <c r="I261" s="2" t="s">
        <v>111</v>
      </c>
      <c r="J261" s="52">
        <v>1000</v>
      </c>
      <c r="K261" s="6">
        <f t="shared" si="100"/>
        <v>17.227</v>
      </c>
      <c r="L261" s="53">
        <f t="shared" si="101"/>
        <v>17227</v>
      </c>
      <c r="M261" s="1" t="s">
        <v>369</v>
      </c>
      <c r="N261" s="3">
        <v>45931</v>
      </c>
      <c r="O261" s="2" t="s">
        <v>111</v>
      </c>
      <c r="P261" s="9">
        <v>1000</v>
      </c>
      <c r="Q261" s="54">
        <v>1.61</v>
      </c>
      <c r="R261" s="55">
        <f t="shared" si="102"/>
        <v>1610</v>
      </c>
      <c r="S261" s="119">
        <v>10.7</v>
      </c>
      <c r="T261" s="1">
        <f t="shared" si="103"/>
        <v>17.227</v>
      </c>
      <c r="U261" s="57">
        <f t="shared" si="104"/>
        <v>17227</v>
      </c>
      <c r="V261" s="58">
        <f t="shared" si="106"/>
        <v>2343.3884297219997</v>
      </c>
      <c r="W261" s="53">
        <f t="shared" si="105"/>
        <v>19570.388429721999</v>
      </c>
      <c r="AC261" s="1"/>
      <c r="AD261" s="59">
        <f t="shared" si="91"/>
        <v>2.3433884297219998</v>
      </c>
      <c r="AE261" s="1">
        <f t="shared" si="92"/>
        <v>19.570388429722001</v>
      </c>
      <c r="AF261" s="1">
        <v>0</v>
      </c>
    </row>
    <row r="262" spans="1:32" x14ac:dyDescent="0.25">
      <c r="A262" s="33" t="s">
        <v>25</v>
      </c>
      <c r="B262" s="2" t="s">
        <v>47</v>
      </c>
      <c r="C262" s="3">
        <v>45916</v>
      </c>
      <c r="D262" s="6" t="s">
        <v>367</v>
      </c>
      <c r="E262" s="2" t="s">
        <v>148</v>
      </c>
      <c r="F262" s="51">
        <v>1000</v>
      </c>
      <c r="G262" s="3">
        <v>45956</v>
      </c>
      <c r="H262" s="4" t="s">
        <v>373</v>
      </c>
      <c r="I262" s="2" t="s">
        <v>148</v>
      </c>
      <c r="J262" s="52">
        <v>1000</v>
      </c>
      <c r="K262" s="6">
        <f t="shared" si="100"/>
        <v>15.514999999999999</v>
      </c>
      <c r="L262" s="53">
        <f t="shared" si="101"/>
        <v>15514.999999999998</v>
      </c>
      <c r="M262" s="1" t="s">
        <v>369</v>
      </c>
      <c r="N262" s="3">
        <v>45931</v>
      </c>
      <c r="O262" s="2" t="s">
        <v>148</v>
      </c>
      <c r="P262" s="9">
        <v>1000</v>
      </c>
      <c r="Q262" s="54">
        <v>1.45</v>
      </c>
      <c r="R262" s="55">
        <f t="shared" si="102"/>
        <v>1450</v>
      </c>
      <c r="S262" s="119">
        <v>10.7</v>
      </c>
      <c r="T262" s="1">
        <f t="shared" si="103"/>
        <v>15.514999999999999</v>
      </c>
      <c r="U262" s="57">
        <f t="shared" si="104"/>
        <v>15514.999999999998</v>
      </c>
      <c r="V262" s="58">
        <f t="shared" si="106"/>
        <v>2343.3884297219997</v>
      </c>
      <c r="W262" s="53">
        <f t="shared" si="105"/>
        <v>17858.388429721999</v>
      </c>
      <c r="AC262" s="1"/>
      <c r="AD262" s="59">
        <f t="shared" si="91"/>
        <v>2.3433884297219998</v>
      </c>
      <c r="AE262" s="1">
        <f t="shared" si="92"/>
        <v>17.858388429721998</v>
      </c>
      <c r="AF262" s="1">
        <v>0</v>
      </c>
    </row>
    <row r="263" spans="1:32" x14ac:dyDescent="0.25">
      <c r="A263" s="33" t="s">
        <v>25</v>
      </c>
      <c r="B263" s="2" t="s">
        <v>47</v>
      </c>
      <c r="C263" s="3">
        <v>45916</v>
      </c>
      <c r="D263" s="6" t="s">
        <v>367</v>
      </c>
      <c r="E263" s="2" t="s">
        <v>217</v>
      </c>
      <c r="F263" s="51">
        <v>3000</v>
      </c>
      <c r="G263" s="3">
        <v>45956</v>
      </c>
      <c r="H263" s="4" t="s">
        <v>374</v>
      </c>
      <c r="I263" s="2" t="s">
        <v>217</v>
      </c>
      <c r="J263" s="52">
        <v>3000</v>
      </c>
      <c r="K263" s="6">
        <f t="shared" si="100"/>
        <v>11.77</v>
      </c>
      <c r="L263" s="53">
        <f t="shared" si="101"/>
        <v>35310</v>
      </c>
      <c r="M263" s="1" t="s">
        <v>369</v>
      </c>
      <c r="N263" s="3">
        <v>45931</v>
      </c>
      <c r="O263" s="2" t="s">
        <v>217</v>
      </c>
      <c r="P263" s="9">
        <v>3000</v>
      </c>
      <c r="Q263" s="54">
        <v>1.1000000000000001</v>
      </c>
      <c r="R263" s="55">
        <f t="shared" si="102"/>
        <v>3300.0000000000005</v>
      </c>
      <c r="S263" s="119">
        <v>10.7</v>
      </c>
      <c r="T263" s="1">
        <f t="shared" si="103"/>
        <v>11.77</v>
      </c>
      <c r="U263" s="57">
        <f t="shared" si="104"/>
        <v>35310</v>
      </c>
      <c r="V263" s="58">
        <f t="shared" si="106"/>
        <v>7030.1652891659996</v>
      </c>
      <c r="W263" s="53">
        <f t="shared" si="105"/>
        <v>42340.165289165998</v>
      </c>
      <c r="AC263" s="1"/>
      <c r="AD263" s="59">
        <f t="shared" si="91"/>
        <v>2.3433884297219998</v>
      </c>
      <c r="AE263" s="1">
        <f t="shared" si="92"/>
        <v>14.113388429721999</v>
      </c>
      <c r="AF263" s="1">
        <v>0</v>
      </c>
    </row>
    <row r="264" spans="1:32" x14ac:dyDescent="0.25">
      <c r="A264" s="33" t="s">
        <v>25</v>
      </c>
      <c r="B264" s="2" t="s">
        <v>47</v>
      </c>
      <c r="C264" s="3">
        <v>45916</v>
      </c>
      <c r="D264" s="6" t="s">
        <v>367</v>
      </c>
      <c r="E264" s="2" t="s">
        <v>54</v>
      </c>
      <c r="F264" s="51">
        <v>4000</v>
      </c>
      <c r="G264" s="3">
        <v>45956</v>
      </c>
      <c r="H264" s="4" t="s">
        <v>375</v>
      </c>
      <c r="I264" s="2" t="s">
        <v>54</v>
      </c>
      <c r="J264" s="52">
        <v>4000</v>
      </c>
      <c r="K264" s="6">
        <f t="shared" si="100"/>
        <v>22.898</v>
      </c>
      <c r="L264" s="53">
        <f t="shared" si="101"/>
        <v>91592</v>
      </c>
      <c r="M264" s="1" t="s">
        <v>369</v>
      </c>
      <c r="N264" s="3">
        <v>45931</v>
      </c>
      <c r="O264" s="2" t="s">
        <v>54</v>
      </c>
      <c r="P264" s="9">
        <v>4000</v>
      </c>
      <c r="Q264" s="54">
        <v>2.14</v>
      </c>
      <c r="R264" s="55">
        <f t="shared" si="102"/>
        <v>8560</v>
      </c>
      <c r="S264" s="119">
        <v>10.7</v>
      </c>
      <c r="T264" s="1">
        <f t="shared" si="103"/>
        <v>22.898</v>
      </c>
      <c r="U264" s="57">
        <f t="shared" si="104"/>
        <v>91592</v>
      </c>
      <c r="V264" s="58">
        <f t="shared" si="106"/>
        <v>9373.5537188879989</v>
      </c>
      <c r="W264" s="53">
        <f t="shared" si="105"/>
        <v>100965.553718888</v>
      </c>
      <c r="AC264" s="1"/>
      <c r="AD264" s="59">
        <f t="shared" si="91"/>
        <v>2.3433884297219998</v>
      </c>
      <c r="AE264" s="1">
        <f t="shared" si="92"/>
        <v>25.241388429722001</v>
      </c>
      <c r="AF264" s="1">
        <v>0</v>
      </c>
    </row>
    <row r="265" spans="1:32" x14ac:dyDescent="0.25">
      <c r="A265" s="33" t="s">
        <v>25</v>
      </c>
      <c r="B265" s="2" t="s">
        <v>47</v>
      </c>
      <c r="C265" s="3">
        <v>45916</v>
      </c>
      <c r="D265" s="6" t="s">
        <v>367</v>
      </c>
      <c r="E265" s="2" t="s">
        <v>229</v>
      </c>
      <c r="F265" s="51">
        <v>800</v>
      </c>
      <c r="G265" s="3">
        <v>45956</v>
      </c>
      <c r="H265" s="4" t="s">
        <v>376</v>
      </c>
      <c r="I265" s="2" t="s">
        <v>229</v>
      </c>
      <c r="J265" s="52">
        <v>800</v>
      </c>
      <c r="K265" s="6">
        <f t="shared" si="100"/>
        <v>100.58</v>
      </c>
      <c r="L265" s="53">
        <f t="shared" si="101"/>
        <v>80464</v>
      </c>
      <c r="M265" s="1" t="s">
        <v>369</v>
      </c>
      <c r="N265" s="3">
        <v>45931</v>
      </c>
      <c r="O265" s="2" t="s">
        <v>229</v>
      </c>
      <c r="P265" s="9">
        <v>800</v>
      </c>
      <c r="Q265" s="54">
        <v>9.4</v>
      </c>
      <c r="R265" s="55">
        <f t="shared" si="102"/>
        <v>7520</v>
      </c>
      <c r="S265" s="119">
        <v>10.7</v>
      </c>
      <c r="T265" s="1">
        <f t="shared" si="103"/>
        <v>100.58</v>
      </c>
      <c r="U265" s="57">
        <f t="shared" si="104"/>
        <v>80464</v>
      </c>
      <c r="V265" s="58">
        <f t="shared" si="106"/>
        <v>1874.7107437775999</v>
      </c>
      <c r="W265" s="53">
        <f t="shared" si="105"/>
        <v>82338.710743777599</v>
      </c>
      <c r="AC265" s="1"/>
      <c r="AD265" s="59">
        <f t="shared" si="91"/>
        <v>2.3433884297219998</v>
      </c>
      <c r="AE265" s="1">
        <f t="shared" si="92"/>
        <v>102.923388429722</v>
      </c>
      <c r="AF265" s="1">
        <v>0</v>
      </c>
    </row>
    <row r="266" spans="1:32" x14ac:dyDescent="0.25">
      <c r="A266" s="33" t="s">
        <v>25</v>
      </c>
      <c r="B266" s="2" t="s">
        <v>47</v>
      </c>
      <c r="C266" s="3">
        <v>45916</v>
      </c>
      <c r="D266" s="6" t="s">
        <v>367</v>
      </c>
      <c r="E266" s="2" t="s">
        <v>60</v>
      </c>
      <c r="F266" s="51">
        <v>300</v>
      </c>
      <c r="G266" s="3">
        <v>45956</v>
      </c>
      <c r="H266" s="4" t="s">
        <v>377</v>
      </c>
      <c r="I266" s="2" t="s">
        <v>60</v>
      </c>
      <c r="J266" s="52">
        <v>300</v>
      </c>
      <c r="K266" s="6">
        <f t="shared" si="100"/>
        <v>56.174999999999997</v>
      </c>
      <c r="L266" s="53">
        <f>K266*J266</f>
        <v>16852.5</v>
      </c>
      <c r="M266" s="1" t="s">
        <v>369</v>
      </c>
      <c r="N266" s="3">
        <v>45931</v>
      </c>
      <c r="O266" s="2" t="s">
        <v>60</v>
      </c>
      <c r="P266" s="9">
        <v>300</v>
      </c>
      <c r="Q266" s="54">
        <v>5.25</v>
      </c>
      <c r="R266" s="55">
        <f t="shared" si="102"/>
        <v>1575</v>
      </c>
      <c r="S266" s="119">
        <v>10.7</v>
      </c>
      <c r="T266" s="1">
        <f t="shared" si="103"/>
        <v>56.174999999999997</v>
      </c>
      <c r="U266" s="57">
        <f t="shared" si="104"/>
        <v>16852.5</v>
      </c>
      <c r="V266" s="58">
        <f t="shared" si="106"/>
        <v>703.01652891660001</v>
      </c>
      <c r="W266" s="53">
        <f t="shared" si="105"/>
        <v>17555.5165289166</v>
      </c>
      <c r="AC266" s="1"/>
      <c r="AD266" s="59">
        <f t="shared" si="91"/>
        <v>2.3433884297220002</v>
      </c>
      <c r="AE266" s="1">
        <f t="shared" si="92"/>
        <v>58.518388429721995</v>
      </c>
      <c r="AF266" s="1">
        <v>0</v>
      </c>
    </row>
    <row r="267" spans="1:32" x14ac:dyDescent="0.25">
      <c r="A267" s="33" t="s">
        <v>25</v>
      </c>
      <c r="B267" s="2" t="s">
        <v>47</v>
      </c>
      <c r="C267" s="3">
        <v>45916</v>
      </c>
      <c r="D267" s="6" t="s">
        <v>367</v>
      </c>
      <c r="E267" s="2" t="s">
        <v>43</v>
      </c>
      <c r="F267" s="51">
        <v>1000</v>
      </c>
      <c r="G267" s="3">
        <v>45956</v>
      </c>
      <c r="H267" s="4" t="s">
        <v>378</v>
      </c>
      <c r="I267" s="2" t="s">
        <v>43</v>
      </c>
      <c r="J267" s="52">
        <v>1000</v>
      </c>
      <c r="K267" s="6">
        <f t="shared" si="100"/>
        <v>20.971999999999998</v>
      </c>
      <c r="L267" s="53">
        <f t="shared" ref="L267:L287" si="107">K267*J267</f>
        <v>20971.999999999996</v>
      </c>
      <c r="M267" s="1" t="s">
        <v>369</v>
      </c>
      <c r="N267" s="3">
        <v>45931</v>
      </c>
      <c r="O267" s="2" t="s">
        <v>43</v>
      </c>
      <c r="P267" s="9">
        <v>1000</v>
      </c>
      <c r="Q267" s="54">
        <v>1.96</v>
      </c>
      <c r="R267" s="55">
        <f t="shared" si="102"/>
        <v>1960</v>
      </c>
      <c r="S267" s="119">
        <v>10.7</v>
      </c>
      <c r="T267" s="1">
        <f t="shared" si="103"/>
        <v>20.971999999999998</v>
      </c>
      <c r="U267" s="57">
        <f t="shared" si="104"/>
        <v>20971.999999999996</v>
      </c>
      <c r="V267" s="58">
        <f t="shared" si="106"/>
        <v>2343.3884297219997</v>
      </c>
      <c r="W267" s="53">
        <f t="shared" si="105"/>
        <v>23315.388429721996</v>
      </c>
      <c r="AC267" s="1"/>
      <c r="AD267" s="59">
        <f t="shared" si="91"/>
        <v>2.3433884297219998</v>
      </c>
      <c r="AE267" s="1">
        <f t="shared" si="92"/>
        <v>23.315388429721999</v>
      </c>
      <c r="AF267" s="1">
        <v>0</v>
      </c>
    </row>
    <row r="268" spans="1:32" x14ac:dyDescent="0.25">
      <c r="A268" s="33" t="s">
        <v>25</v>
      </c>
      <c r="B268" s="2" t="s">
        <v>47</v>
      </c>
      <c r="C268" s="3">
        <v>45916</v>
      </c>
      <c r="D268" s="6" t="s">
        <v>367</v>
      </c>
      <c r="E268" s="2" t="s">
        <v>42</v>
      </c>
      <c r="F268" s="51">
        <v>3300</v>
      </c>
      <c r="G268" s="3">
        <v>45956</v>
      </c>
      <c r="H268" s="4" t="s">
        <v>379</v>
      </c>
      <c r="I268" s="2" t="s">
        <v>42</v>
      </c>
      <c r="J268" s="52">
        <v>3300</v>
      </c>
      <c r="K268" s="6">
        <f t="shared" si="100"/>
        <v>6.6339999999999995</v>
      </c>
      <c r="L268" s="53">
        <f t="shared" si="107"/>
        <v>21892.199999999997</v>
      </c>
      <c r="M268" s="1" t="s">
        <v>369</v>
      </c>
      <c r="N268" s="3">
        <v>45931</v>
      </c>
      <c r="O268" s="2" t="s">
        <v>42</v>
      </c>
      <c r="P268" s="9">
        <v>3300</v>
      </c>
      <c r="Q268" s="54">
        <v>0.62</v>
      </c>
      <c r="R268" s="55">
        <f t="shared" si="102"/>
        <v>2046</v>
      </c>
      <c r="S268" s="119">
        <v>10.7</v>
      </c>
      <c r="T268" s="1">
        <f t="shared" si="103"/>
        <v>6.6339999999999995</v>
      </c>
      <c r="U268" s="57">
        <f t="shared" si="104"/>
        <v>21892.199999999997</v>
      </c>
      <c r="V268" s="58">
        <f t="shared" si="106"/>
        <v>7733.1818180825994</v>
      </c>
      <c r="W268" s="53">
        <f t="shared" si="105"/>
        <v>29625.381818082598</v>
      </c>
      <c r="AC268" s="1"/>
      <c r="AD268" s="59">
        <f t="shared" si="91"/>
        <v>2.3433884297219998</v>
      </c>
      <c r="AE268" s="1">
        <f t="shared" si="92"/>
        <v>8.9773884297219997</v>
      </c>
      <c r="AF268" s="1">
        <v>0</v>
      </c>
    </row>
    <row r="269" spans="1:32" x14ac:dyDescent="0.25">
      <c r="A269" s="33" t="s">
        <v>25</v>
      </c>
      <c r="B269" s="2" t="s">
        <v>47</v>
      </c>
      <c r="C269" s="3">
        <v>45916</v>
      </c>
      <c r="D269" s="6" t="s">
        <v>367</v>
      </c>
      <c r="E269" s="2" t="s">
        <v>44</v>
      </c>
      <c r="F269" s="51">
        <v>2000</v>
      </c>
      <c r="G269" s="3">
        <v>45956</v>
      </c>
      <c r="H269" s="4" t="s">
        <v>380</v>
      </c>
      <c r="I269" s="2" t="s">
        <v>44</v>
      </c>
      <c r="J269" s="52">
        <v>2000</v>
      </c>
      <c r="K269" s="6">
        <f t="shared" si="100"/>
        <v>11.877000000000001</v>
      </c>
      <c r="L269" s="53">
        <f t="shared" si="107"/>
        <v>23754</v>
      </c>
      <c r="M269" s="1" t="s">
        <v>369</v>
      </c>
      <c r="N269" s="3">
        <v>45931</v>
      </c>
      <c r="O269" s="2" t="s">
        <v>44</v>
      </c>
      <c r="P269" s="9">
        <v>2000</v>
      </c>
      <c r="Q269" s="54">
        <v>1.1100000000000001</v>
      </c>
      <c r="R269" s="55">
        <f t="shared" si="102"/>
        <v>2220</v>
      </c>
      <c r="S269" s="119">
        <v>10.7</v>
      </c>
      <c r="T269" s="1">
        <f t="shared" si="103"/>
        <v>11.877000000000001</v>
      </c>
      <c r="U269" s="57">
        <f t="shared" si="104"/>
        <v>23754</v>
      </c>
      <c r="V269" s="58">
        <f t="shared" si="106"/>
        <v>4686.7768594439995</v>
      </c>
      <c r="W269" s="53">
        <f t="shared" si="105"/>
        <v>28440.776859443999</v>
      </c>
      <c r="AC269" s="1"/>
      <c r="AD269" s="59">
        <f t="shared" si="91"/>
        <v>2.3433884297219998</v>
      </c>
      <c r="AE269" s="1">
        <f t="shared" si="92"/>
        <v>14.220388429722</v>
      </c>
      <c r="AF269" s="1">
        <v>0</v>
      </c>
    </row>
    <row r="270" spans="1:32" x14ac:dyDescent="0.25">
      <c r="A270" s="33" t="s">
        <v>25</v>
      </c>
      <c r="B270" s="2" t="s">
        <v>47</v>
      </c>
      <c r="C270" s="3">
        <v>45916</v>
      </c>
      <c r="D270" s="6" t="s">
        <v>367</v>
      </c>
      <c r="E270" s="2" t="s">
        <v>45</v>
      </c>
      <c r="F270" s="51">
        <v>1000</v>
      </c>
      <c r="G270" s="3">
        <v>45956</v>
      </c>
      <c r="H270" s="4" t="s">
        <v>381</v>
      </c>
      <c r="I270" s="2" t="s">
        <v>45</v>
      </c>
      <c r="J270" s="52">
        <v>1000</v>
      </c>
      <c r="K270" s="6">
        <f>T270</f>
        <v>20.329999999999998</v>
      </c>
      <c r="L270" s="53">
        <f>K270*J270</f>
        <v>20330</v>
      </c>
      <c r="M270" s="1" t="s">
        <v>369</v>
      </c>
      <c r="N270" s="3">
        <v>45931</v>
      </c>
      <c r="O270" s="2" t="s">
        <v>45</v>
      </c>
      <c r="P270" s="9">
        <v>1000</v>
      </c>
      <c r="Q270" s="54">
        <v>1.9</v>
      </c>
      <c r="R270" s="55">
        <f t="shared" si="102"/>
        <v>1900</v>
      </c>
      <c r="S270" s="119">
        <v>10.7</v>
      </c>
      <c r="T270" s="1">
        <f t="shared" si="103"/>
        <v>20.329999999999998</v>
      </c>
      <c r="U270" s="57">
        <f t="shared" si="104"/>
        <v>20330</v>
      </c>
      <c r="V270" s="58">
        <f t="shared" si="106"/>
        <v>2343.3884297219997</v>
      </c>
      <c r="W270" s="53">
        <f t="shared" si="105"/>
        <v>22673.388429721999</v>
      </c>
      <c r="AC270" s="1"/>
      <c r="AD270" s="59">
        <f t="shared" si="91"/>
        <v>2.3433884297219998</v>
      </c>
      <c r="AE270" s="1">
        <f t="shared" si="92"/>
        <v>22.673388429721999</v>
      </c>
      <c r="AF270" s="1">
        <v>0</v>
      </c>
    </row>
    <row r="271" spans="1:32" x14ac:dyDescent="0.25">
      <c r="A271" s="33" t="s">
        <v>25</v>
      </c>
      <c r="B271" s="2" t="s">
        <v>47</v>
      </c>
      <c r="C271" s="3">
        <v>45916</v>
      </c>
      <c r="D271" s="6" t="s">
        <v>367</v>
      </c>
      <c r="E271" s="2" t="s">
        <v>221</v>
      </c>
      <c r="F271" s="51">
        <v>1900</v>
      </c>
      <c r="G271" s="3">
        <v>45956</v>
      </c>
      <c r="H271" s="4" t="s">
        <v>382</v>
      </c>
      <c r="I271" s="2" t="s">
        <v>221</v>
      </c>
      <c r="J271" s="52">
        <v>1900</v>
      </c>
      <c r="K271" s="6">
        <f t="shared" si="100"/>
        <v>29.852999999999998</v>
      </c>
      <c r="L271" s="53">
        <f t="shared" si="107"/>
        <v>56720.7</v>
      </c>
      <c r="M271" s="1" t="s">
        <v>369</v>
      </c>
      <c r="N271" s="3">
        <v>45931</v>
      </c>
      <c r="O271" s="2" t="s">
        <v>221</v>
      </c>
      <c r="P271" s="9">
        <v>1900</v>
      </c>
      <c r="Q271" s="54">
        <v>2.79</v>
      </c>
      <c r="R271" s="55">
        <f t="shared" si="102"/>
        <v>5301</v>
      </c>
      <c r="S271" s="119">
        <v>10.7</v>
      </c>
      <c r="T271" s="1">
        <f t="shared" si="103"/>
        <v>29.852999999999998</v>
      </c>
      <c r="U271" s="57">
        <f t="shared" si="104"/>
        <v>56720.7</v>
      </c>
      <c r="V271" s="58">
        <f t="shared" si="106"/>
        <v>4452.4380164717995</v>
      </c>
      <c r="W271" s="53">
        <f t="shared" si="105"/>
        <v>61173.138016471799</v>
      </c>
      <c r="AC271" s="1"/>
      <c r="AD271" s="59">
        <f t="shared" si="91"/>
        <v>2.3433884297219998</v>
      </c>
      <c r="AE271" s="1">
        <f t="shared" si="92"/>
        <v>32.196388429721999</v>
      </c>
      <c r="AF271" s="1">
        <v>0</v>
      </c>
    </row>
    <row r="272" spans="1:32" x14ac:dyDescent="0.25">
      <c r="A272" s="33" t="s">
        <v>25</v>
      </c>
      <c r="B272" s="60" t="s">
        <v>47</v>
      </c>
      <c r="C272" s="61">
        <v>45916</v>
      </c>
      <c r="D272" s="65" t="s">
        <v>367</v>
      </c>
      <c r="E272" s="60" t="s">
        <v>40</v>
      </c>
      <c r="F272" s="62">
        <v>1000</v>
      </c>
      <c r="G272" s="75">
        <v>45956</v>
      </c>
      <c r="H272" s="63" t="s">
        <v>383</v>
      </c>
      <c r="I272" s="60" t="s">
        <v>40</v>
      </c>
      <c r="J272" s="64">
        <v>1000</v>
      </c>
      <c r="K272" s="65">
        <f t="shared" si="100"/>
        <v>13.91</v>
      </c>
      <c r="L272" s="66">
        <f t="shared" si="107"/>
        <v>13910</v>
      </c>
      <c r="M272" s="73" t="s">
        <v>369</v>
      </c>
      <c r="N272" s="61">
        <v>45931</v>
      </c>
      <c r="O272" s="60" t="s">
        <v>40</v>
      </c>
      <c r="P272" s="31">
        <v>1000</v>
      </c>
      <c r="Q272" s="68">
        <v>1.3</v>
      </c>
      <c r="R272" s="69">
        <f t="shared" si="102"/>
        <v>1300</v>
      </c>
      <c r="S272" s="119">
        <v>10.7</v>
      </c>
      <c r="T272" s="67">
        <f t="shared" si="103"/>
        <v>13.91</v>
      </c>
      <c r="U272" s="71">
        <f t="shared" si="104"/>
        <v>13910</v>
      </c>
      <c r="V272" s="58">
        <f t="shared" si="106"/>
        <v>2343.3884297219997</v>
      </c>
      <c r="W272" s="66">
        <f t="shared" si="105"/>
        <v>16253.388429721999</v>
      </c>
      <c r="X272" s="67"/>
      <c r="Y272" s="62"/>
      <c r="Z272" s="67"/>
      <c r="AA272" s="67"/>
      <c r="AB272" s="67"/>
      <c r="AC272" s="67"/>
      <c r="AD272" s="73">
        <f t="shared" si="91"/>
        <v>2.3433884297219998</v>
      </c>
      <c r="AE272" s="67">
        <f t="shared" si="92"/>
        <v>16.253388429722001</v>
      </c>
      <c r="AF272" s="67">
        <v>0</v>
      </c>
    </row>
    <row r="273" spans="1:32" x14ac:dyDescent="0.25">
      <c r="A273" s="33" t="s">
        <v>25</v>
      </c>
      <c r="B273" s="2" t="s">
        <v>26</v>
      </c>
      <c r="C273" s="3">
        <v>45916</v>
      </c>
      <c r="D273" s="6" t="s">
        <v>367</v>
      </c>
      <c r="E273" s="2" t="s">
        <v>321</v>
      </c>
      <c r="F273" s="51">
        <v>1210</v>
      </c>
      <c r="G273" s="3">
        <v>45962</v>
      </c>
      <c r="H273" s="4" t="s">
        <v>384</v>
      </c>
      <c r="I273" s="2" t="s">
        <v>321</v>
      </c>
      <c r="J273" s="52">
        <v>1210</v>
      </c>
      <c r="K273" s="6">
        <f t="shared" si="100"/>
        <v>38.664000000000001</v>
      </c>
      <c r="L273" s="53">
        <f t="shared" si="107"/>
        <v>46783.44</v>
      </c>
      <c r="M273" s="1" t="s">
        <v>385</v>
      </c>
      <c r="N273" s="3">
        <v>45929</v>
      </c>
      <c r="O273" s="2" t="s">
        <v>321</v>
      </c>
      <c r="P273" s="9">
        <v>1210</v>
      </c>
      <c r="Q273" s="54">
        <v>3.6</v>
      </c>
      <c r="R273" s="55">
        <f t="shared" si="102"/>
        <v>4356</v>
      </c>
      <c r="S273" s="56">
        <v>10.74</v>
      </c>
      <c r="T273" s="1">
        <f t="shared" si="103"/>
        <v>38.664000000000001</v>
      </c>
      <c r="U273" s="57">
        <f t="shared" si="104"/>
        <v>46783.44</v>
      </c>
      <c r="V273" s="88">
        <f t="shared" ref="V273:V279" si="108">((0.14319809069)*P273)*S273</f>
        <v>1860.9164677528261</v>
      </c>
      <c r="W273" s="53">
        <f t="shared" si="105"/>
        <v>48644.356467752827</v>
      </c>
      <c r="AC273" s="1"/>
      <c r="AD273" s="59">
        <f t="shared" si="91"/>
        <v>1.5379474940106002</v>
      </c>
      <c r="AE273" s="1">
        <f t="shared" si="92"/>
        <v>40.201947494010604</v>
      </c>
      <c r="AF273" s="1">
        <v>0</v>
      </c>
    </row>
    <row r="274" spans="1:32" x14ac:dyDescent="0.25">
      <c r="A274" s="33" t="s">
        <v>25</v>
      </c>
      <c r="B274" s="2" t="s">
        <v>47</v>
      </c>
      <c r="C274" s="3">
        <v>45793</v>
      </c>
      <c r="D274" s="6" t="s">
        <v>367</v>
      </c>
      <c r="E274" s="2" t="s">
        <v>386</v>
      </c>
      <c r="F274" s="51">
        <v>200</v>
      </c>
      <c r="G274" s="3">
        <v>45962</v>
      </c>
      <c r="H274" s="4" t="s">
        <v>384</v>
      </c>
      <c r="I274" s="2" t="s">
        <v>386</v>
      </c>
      <c r="J274" s="52">
        <v>200</v>
      </c>
      <c r="K274" s="6">
        <f t="shared" si="100"/>
        <v>21.0504</v>
      </c>
      <c r="L274" s="53">
        <f t="shared" si="107"/>
        <v>4210.08</v>
      </c>
      <c r="M274" s="1" t="s">
        <v>385</v>
      </c>
      <c r="N274" s="3">
        <v>45929</v>
      </c>
      <c r="O274" s="2" t="s">
        <v>386</v>
      </c>
      <c r="P274" s="9">
        <v>200</v>
      </c>
      <c r="Q274" s="54">
        <v>1.96</v>
      </c>
      <c r="R274" s="55">
        <f t="shared" si="102"/>
        <v>392</v>
      </c>
      <c r="S274" s="56">
        <v>10.74</v>
      </c>
      <c r="T274" s="1">
        <f t="shared" si="103"/>
        <v>21.0504</v>
      </c>
      <c r="U274" s="57">
        <f t="shared" si="104"/>
        <v>4210.08</v>
      </c>
      <c r="V274" s="58">
        <f t="shared" si="108"/>
        <v>307.58949880211998</v>
      </c>
      <c r="W274" s="53">
        <f t="shared" si="105"/>
        <v>4517.66949880212</v>
      </c>
      <c r="AC274" s="1"/>
      <c r="AD274" s="59">
        <f t="shared" si="91"/>
        <v>1.5379474940105999</v>
      </c>
      <c r="AE274" s="1">
        <f t="shared" si="92"/>
        <v>22.588347494010598</v>
      </c>
      <c r="AF274" s="1">
        <v>0</v>
      </c>
    </row>
    <row r="275" spans="1:32" x14ac:dyDescent="0.25">
      <c r="A275" s="33" t="s">
        <v>25</v>
      </c>
      <c r="B275" s="2" t="s">
        <v>47</v>
      </c>
      <c r="C275" s="3">
        <v>45793</v>
      </c>
      <c r="D275" s="6" t="s">
        <v>367</v>
      </c>
      <c r="E275" s="2" t="s">
        <v>131</v>
      </c>
      <c r="F275" s="51">
        <v>10000</v>
      </c>
      <c r="G275" s="3">
        <v>45962</v>
      </c>
      <c r="H275" s="4" t="s">
        <v>384</v>
      </c>
      <c r="I275" s="2" t="s">
        <v>131</v>
      </c>
      <c r="J275" s="52">
        <v>10000</v>
      </c>
      <c r="K275" s="6">
        <f t="shared" si="100"/>
        <v>8.0549999999999997</v>
      </c>
      <c r="L275" s="53">
        <f t="shared" si="107"/>
        <v>80550</v>
      </c>
      <c r="M275" s="1" t="s">
        <v>385</v>
      </c>
      <c r="N275" s="3">
        <v>45929</v>
      </c>
      <c r="O275" s="2" t="s">
        <v>131</v>
      </c>
      <c r="P275" s="9">
        <v>10000</v>
      </c>
      <c r="Q275" s="54">
        <v>0.75</v>
      </c>
      <c r="R275" s="55">
        <f>P275*Q275</f>
        <v>7500</v>
      </c>
      <c r="S275" s="56">
        <v>10.74</v>
      </c>
      <c r="T275" s="1">
        <f>Q275*S275</f>
        <v>8.0549999999999997</v>
      </c>
      <c r="U275" s="57">
        <f>P275*T275</f>
        <v>80550</v>
      </c>
      <c r="V275" s="58">
        <f>((0.14319809069)*P275)*S275</f>
        <v>15379.474940106</v>
      </c>
      <c r="W275" s="53">
        <f>U275+V275</f>
        <v>95929.474940105996</v>
      </c>
      <c r="AC275" s="1"/>
      <c r="AD275" s="74">
        <f>V275/P275</f>
        <v>1.5379474940105999</v>
      </c>
      <c r="AE275" s="98">
        <f>T275+AD275</f>
        <v>9.5929474940106001</v>
      </c>
      <c r="AF275" s="1">
        <v>0</v>
      </c>
    </row>
    <row r="276" spans="1:32" x14ac:dyDescent="0.25">
      <c r="A276" s="33" t="s">
        <v>25</v>
      </c>
      <c r="B276" s="2" t="s">
        <v>47</v>
      </c>
      <c r="C276" s="3">
        <v>45793</v>
      </c>
      <c r="D276" s="6" t="s">
        <v>367</v>
      </c>
      <c r="E276" s="2" t="s">
        <v>324</v>
      </c>
      <c r="F276" s="51">
        <v>1100</v>
      </c>
      <c r="G276" s="3">
        <v>45962</v>
      </c>
      <c r="H276" s="4" t="s">
        <v>384</v>
      </c>
      <c r="I276" s="2" t="s">
        <v>324</v>
      </c>
      <c r="J276" s="52">
        <v>1100</v>
      </c>
      <c r="K276" s="6">
        <f t="shared" si="100"/>
        <v>11.814000000000002</v>
      </c>
      <c r="L276" s="53">
        <f t="shared" si="107"/>
        <v>12995.400000000001</v>
      </c>
      <c r="M276" s="1" t="s">
        <v>385</v>
      </c>
      <c r="N276" s="3">
        <v>45929</v>
      </c>
      <c r="O276" s="2" t="s">
        <v>324</v>
      </c>
      <c r="P276" s="9">
        <v>1100</v>
      </c>
      <c r="Q276" s="54">
        <v>1.1000000000000001</v>
      </c>
      <c r="R276" s="55">
        <f t="shared" si="102"/>
        <v>1210</v>
      </c>
      <c r="S276" s="56">
        <v>10.74</v>
      </c>
      <c r="T276" s="1">
        <f t="shared" si="103"/>
        <v>11.814000000000002</v>
      </c>
      <c r="U276" s="57">
        <f t="shared" si="104"/>
        <v>12995.400000000001</v>
      </c>
      <c r="V276" s="58">
        <f t="shared" si="108"/>
        <v>1691.74224341166</v>
      </c>
      <c r="W276" s="53">
        <f t="shared" si="105"/>
        <v>14687.142243411661</v>
      </c>
      <c r="AC276" s="1"/>
      <c r="AD276" s="74">
        <f>V276/P276</f>
        <v>1.5379474940105999</v>
      </c>
      <c r="AE276" s="1">
        <f t="shared" si="92"/>
        <v>13.351947494010602</v>
      </c>
      <c r="AF276" s="1">
        <v>0</v>
      </c>
    </row>
    <row r="277" spans="1:32" x14ac:dyDescent="0.25">
      <c r="A277" s="33" t="s">
        <v>25</v>
      </c>
      <c r="B277" s="2" t="s">
        <v>47</v>
      </c>
      <c r="C277" s="3">
        <v>45793</v>
      </c>
      <c r="D277" s="6" t="s">
        <v>367</v>
      </c>
      <c r="E277" s="2" t="s">
        <v>42</v>
      </c>
      <c r="F277" s="51">
        <v>1100</v>
      </c>
      <c r="G277" s="3">
        <v>45962</v>
      </c>
      <c r="H277" s="4" t="s">
        <v>384</v>
      </c>
      <c r="I277" s="2" t="s">
        <v>42</v>
      </c>
      <c r="J277" s="52">
        <v>1100</v>
      </c>
      <c r="K277" s="6">
        <f t="shared" si="100"/>
        <v>6.6588000000000003</v>
      </c>
      <c r="L277" s="53">
        <f t="shared" si="107"/>
        <v>7324.68</v>
      </c>
      <c r="M277" s="1" t="s">
        <v>385</v>
      </c>
      <c r="N277" s="3">
        <v>45929</v>
      </c>
      <c r="O277" s="2" t="s">
        <v>42</v>
      </c>
      <c r="P277" s="9">
        <v>1100</v>
      </c>
      <c r="Q277" s="54">
        <v>0.62</v>
      </c>
      <c r="R277" s="55">
        <f t="shared" si="102"/>
        <v>682</v>
      </c>
      <c r="S277" s="56">
        <v>10.74</v>
      </c>
      <c r="T277" s="1">
        <f t="shared" si="103"/>
        <v>6.6588000000000003</v>
      </c>
      <c r="U277" s="57">
        <f t="shared" si="104"/>
        <v>7324.68</v>
      </c>
      <c r="V277" s="58">
        <f t="shared" si="108"/>
        <v>1691.74224341166</v>
      </c>
      <c r="W277" s="53">
        <f t="shared" si="105"/>
        <v>9016.42224341166</v>
      </c>
      <c r="AC277" s="1"/>
      <c r="AD277" s="59">
        <f t="shared" si="91"/>
        <v>1.5379474940105999</v>
      </c>
      <c r="AE277" s="1">
        <f>T277+AD277</f>
        <v>8.1967474940105998</v>
      </c>
      <c r="AF277" s="1">
        <v>0</v>
      </c>
    </row>
    <row r="278" spans="1:32" x14ac:dyDescent="0.25">
      <c r="A278" s="33" t="s">
        <v>25</v>
      </c>
      <c r="B278" s="2" t="s">
        <v>47</v>
      </c>
      <c r="C278" s="3">
        <v>45793</v>
      </c>
      <c r="D278" s="6" t="s">
        <v>367</v>
      </c>
      <c r="E278" s="2" t="s">
        <v>221</v>
      </c>
      <c r="F278" s="51">
        <v>950</v>
      </c>
      <c r="G278" s="3">
        <v>45962</v>
      </c>
      <c r="H278" s="4" t="s">
        <v>384</v>
      </c>
      <c r="I278" s="2" t="s">
        <v>221</v>
      </c>
      <c r="J278" s="52">
        <v>950</v>
      </c>
      <c r="K278" s="6">
        <f t="shared" si="100"/>
        <v>29.964600000000001</v>
      </c>
      <c r="L278" s="53">
        <f t="shared" si="107"/>
        <v>28466.37</v>
      </c>
      <c r="M278" s="1" t="s">
        <v>385</v>
      </c>
      <c r="N278" s="3">
        <v>45929</v>
      </c>
      <c r="O278" s="2" t="s">
        <v>221</v>
      </c>
      <c r="P278" s="9">
        <v>950</v>
      </c>
      <c r="Q278" s="54">
        <v>2.79</v>
      </c>
      <c r="R278" s="55">
        <f t="shared" si="102"/>
        <v>2650.5</v>
      </c>
      <c r="S278" s="56">
        <v>10.74</v>
      </c>
      <c r="T278" s="1">
        <f t="shared" si="103"/>
        <v>29.964600000000001</v>
      </c>
      <c r="U278" s="57">
        <f t="shared" si="104"/>
        <v>28466.37</v>
      </c>
      <c r="V278" s="58">
        <f t="shared" si="108"/>
        <v>1461.0501193100699</v>
      </c>
      <c r="W278" s="53">
        <f t="shared" si="105"/>
        <v>29927.420119310067</v>
      </c>
      <c r="AC278" s="1"/>
      <c r="AD278" s="74">
        <f>V278/P278</f>
        <v>1.5379474940105999</v>
      </c>
      <c r="AE278" s="98">
        <f>T278+AD278</f>
        <v>31.502547494010599</v>
      </c>
      <c r="AF278" s="1">
        <v>0</v>
      </c>
    </row>
    <row r="279" spans="1:32" x14ac:dyDescent="0.25">
      <c r="A279" s="33" t="s">
        <v>25</v>
      </c>
      <c r="B279" s="60" t="s">
        <v>47</v>
      </c>
      <c r="C279" s="61">
        <v>45793</v>
      </c>
      <c r="D279" s="65" t="s">
        <v>367</v>
      </c>
      <c r="E279" s="60" t="s">
        <v>41</v>
      </c>
      <c r="F279" s="62">
        <v>2200</v>
      </c>
      <c r="G279" s="61">
        <v>45962</v>
      </c>
      <c r="H279" s="63" t="s">
        <v>384</v>
      </c>
      <c r="I279" s="60" t="s">
        <v>41</v>
      </c>
      <c r="J279" s="64">
        <v>2200</v>
      </c>
      <c r="K279" s="65">
        <f t="shared" si="100"/>
        <v>8.2698</v>
      </c>
      <c r="L279" s="66">
        <f t="shared" si="107"/>
        <v>18193.560000000001</v>
      </c>
      <c r="M279" s="67" t="s">
        <v>385</v>
      </c>
      <c r="N279" s="61">
        <v>45929</v>
      </c>
      <c r="O279" s="60" t="s">
        <v>41</v>
      </c>
      <c r="P279" s="31">
        <v>2200</v>
      </c>
      <c r="Q279" s="68">
        <v>0.77</v>
      </c>
      <c r="R279" s="69">
        <f t="shared" si="102"/>
        <v>1694</v>
      </c>
      <c r="S279" s="70">
        <v>10.74</v>
      </c>
      <c r="T279" s="67">
        <f t="shared" si="103"/>
        <v>8.2698</v>
      </c>
      <c r="U279" s="71">
        <f t="shared" si="104"/>
        <v>18193.560000000001</v>
      </c>
      <c r="V279" s="72">
        <f t="shared" si="108"/>
        <v>3383.4844868233199</v>
      </c>
      <c r="W279" s="66">
        <f t="shared" si="105"/>
        <v>21577.044486823321</v>
      </c>
      <c r="X279" s="67"/>
      <c r="Y279" s="62"/>
      <c r="Z279" s="67"/>
      <c r="AA279" s="67"/>
      <c r="AB279" s="67"/>
      <c r="AC279" s="67"/>
      <c r="AD279" s="73">
        <f t="shared" si="91"/>
        <v>1.5379474940105999</v>
      </c>
      <c r="AE279" s="67">
        <f t="shared" ref="AE279:AE292" si="109">T279+AD279</f>
        <v>9.8077474940106004</v>
      </c>
      <c r="AF279" s="67">
        <v>0</v>
      </c>
    </row>
    <row r="280" spans="1:32" x14ac:dyDescent="0.25">
      <c r="A280" s="49" t="s">
        <v>31</v>
      </c>
      <c r="B280" s="34" t="s">
        <v>78</v>
      </c>
      <c r="C280" s="35">
        <v>45971</v>
      </c>
      <c r="D280" s="36" t="s">
        <v>387</v>
      </c>
      <c r="E280" s="34" t="s">
        <v>80</v>
      </c>
      <c r="F280" s="37">
        <v>5400</v>
      </c>
      <c r="G280" s="35">
        <v>45975</v>
      </c>
      <c r="H280" s="38" t="s">
        <v>388</v>
      </c>
      <c r="I280" s="34" t="s">
        <v>80</v>
      </c>
      <c r="J280" s="39">
        <v>5400</v>
      </c>
      <c r="K280" s="36">
        <v>4</v>
      </c>
      <c r="L280" s="40">
        <f t="shared" si="107"/>
        <v>21600</v>
      </c>
      <c r="M280" s="41" t="s">
        <v>389</v>
      </c>
      <c r="N280" s="35">
        <v>45974</v>
      </c>
      <c r="O280" s="34" t="s">
        <v>80</v>
      </c>
      <c r="P280" s="42">
        <v>5400</v>
      </c>
      <c r="Q280" s="43"/>
      <c r="R280" s="44"/>
      <c r="S280" s="45"/>
      <c r="T280" s="41">
        <v>4</v>
      </c>
      <c r="U280" s="46">
        <f>T280*P280</f>
        <v>21600</v>
      </c>
      <c r="V280" s="47">
        <v>4320</v>
      </c>
      <c r="W280" s="40">
        <f>V280+U280</f>
        <v>25920</v>
      </c>
      <c r="X280" s="41"/>
      <c r="Y280" s="37"/>
      <c r="Z280" s="41"/>
      <c r="AA280" s="41"/>
      <c r="AB280" s="41"/>
      <c r="AC280" s="41"/>
      <c r="AD280" s="48">
        <f t="shared" si="91"/>
        <v>0.8</v>
      </c>
      <c r="AE280" s="41">
        <f t="shared" si="109"/>
        <v>4.8</v>
      </c>
      <c r="AF280" s="41">
        <v>0</v>
      </c>
    </row>
    <row r="281" spans="1:32" x14ac:dyDescent="0.25">
      <c r="A281" s="49" t="s">
        <v>31</v>
      </c>
      <c r="B281" s="76" t="s">
        <v>249</v>
      </c>
      <c r="C281" s="77">
        <v>45974</v>
      </c>
      <c r="D281" s="50" t="s">
        <v>390</v>
      </c>
      <c r="E281" s="76" t="s">
        <v>391</v>
      </c>
      <c r="F281" s="78">
        <v>210</v>
      </c>
      <c r="G281" s="77">
        <v>45975</v>
      </c>
      <c r="H281" s="79" t="s">
        <v>392</v>
      </c>
      <c r="I281" s="76" t="s">
        <v>391</v>
      </c>
      <c r="J281" s="80">
        <v>210</v>
      </c>
      <c r="K281" s="50">
        <v>162.5</v>
      </c>
      <c r="L281" s="81">
        <f t="shared" si="107"/>
        <v>34125</v>
      </c>
      <c r="M281" s="82">
        <v>511082</v>
      </c>
      <c r="N281" s="77">
        <v>45974</v>
      </c>
      <c r="O281" s="76" t="s">
        <v>391</v>
      </c>
      <c r="P281" s="83">
        <v>210</v>
      </c>
      <c r="Q281" s="84"/>
      <c r="R281" s="85"/>
      <c r="S281" s="86"/>
      <c r="T281" s="82">
        <v>162.5</v>
      </c>
      <c r="U281" s="87">
        <f>T281*P281</f>
        <v>34125</v>
      </c>
      <c r="V281" s="88">
        <f>+W281-U281</f>
        <v>6825</v>
      </c>
      <c r="W281" s="81">
        <f>+U281*1.2</f>
        <v>40950</v>
      </c>
      <c r="X281" s="82"/>
      <c r="Y281" s="78"/>
      <c r="Z281" s="82"/>
      <c r="AA281" s="82"/>
      <c r="AB281" s="82"/>
      <c r="AC281" s="82"/>
      <c r="AD281" s="89">
        <f t="shared" si="91"/>
        <v>32.5</v>
      </c>
      <c r="AE281" s="82">
        <f t="shared" si="109"/>
        <v>195</v>
      </c>
      <c r="AF281" s="82">
        <v>0</v>
      </c>
    </row>
    <row r="282" spans="1:32" x14ac:dyDescent="0.25">
      <c r="A282" s="49" t="s">
        <v>31</v>
      </c>
      <c r="B282" s="60" t="s">
        <v>249</v>
      </c>
      <c r="C282" s="61">
        <v>45974</v>
      </c>
      <c r="D282" s="65" t="s">
        <v>390</v>
      </c>
      <c r="E282" s="60" t="s">
        <v>393</v>
      </c>
      <c r="F282" s="62">
        <v>60</v>
      </c>
      <c r="G282" s="61">
        <v>45975</v>
      </c>
      <c r="H282" s="63" t="s">
        <v>392</v>
      </c>
      <c r="I282" s="60" t="s">
        <v>393</v>
      </c>
      <c r="J282" s="64">
        <v>60</v>
      </c>
      <c r="K282" s="65">
        <v>170</v>
      </c>
      <c r="L282" s="66">
        <f t="shared" si="107"/>
        <v>10200</v>
      </c>
      <c r="M282" s="67">
        <v>511082</v>
      </c>
      <c r="N282" s="61">
        <v>45974</v>
      </c>
      <c r="O282" s="60" t="s">
        <v>393</v>
      </c>
      <c r="P282" s="31">
        <v>60</v>
      </c>
      <c r="Q282" s="68"/>
      <c r="R282" s="69"/>
      <c r="S282" s="70"/>
      <c r="T282" s="67">
        <v>170</v>
      </c>
      <c r="U282" s="71">
        <f>T282*P282</f>
        <v>10200</v>
      </c>
      <c r="V282" s="72">
        <f>+W282-U282</f>
        <v>2040</v>
      </c>
      <c r="W282" s="66">
        <f>+U282*1.2</f>
        <v>12240</v>
      </c>
      <c r="X282" s="67"/>
      <c r="Y282" s="62"/>
      <c r="Z282" s="67"/>
      <c r="AA282" s="67"/>
      <c r="AB282" s="67"/>
      <c r="AC282" s="67"/>
      <c r="AD282" s="73">
        <f t="shared" si="91"/>
        <v>34</v>
      </c>
      <c r="AE282" s="67">
        <f>T282+AD282</f>
        <v>204</v>
      </c>
      <c r="AF282" s="67">
        <v>0</v>
      </c>
    </row>
    <row r="283" spans="1:32" x14ac:dyDescent="0.25">
      <c r="A283" s="49" t="s">
        <v>31</v>
      </c>
      <c r="B283" s="76" t="s">
        <v>101</v>
      </c>
      <c r="C283" s="77">
        <v>45973</v>
      </c>
      <c r="D283" s="50" t="s">
        <v>394</v>
      </c>
      <c r="E283" s="76" t="s">
        <v>75</v>
      </c>
      <c r="F283" s="78">
        <v>6000</v>
      </c>
      <c r="G283" s="77">
        <v>45975</v>
      </c>
      <c r="H283" s="79" t="s">
        <v>395</v>
      </c>
      <c r="I283" s="76" t="s">
        <v>75</v>
      </c>
      <c r="J283" s="80">
        <v>6000</v>
      </c>
      <c r="K283" s="50">
        <v>12</v>
      </c>
      <c r="L283" s="81">
        <f t="shared" si="107"/>
        <v>72000</v>
      </c>
      <c r="M283" s="82" t="s">
        <v>396</v>
      </c>
      <c r="N283" s="77">
        <v>45972</v>
      </c>
      <c r="O283" s="76" t="s">
        <v>75</v>
      </c>
      <c r="P283" s="83">
        <v>6000</v>
      </c>
      <c r="Q283" s="84"/>
      <c r="R283" s="85"/>
      <c r="S283" s="86"/>
      <c r="T283" s="82">
        <v>13.5</v>
      </c>
      <c r="U283" s="87">
        <f>+T283*P283</f>
        <v>81000</v>
      </c>
      <c r="V283" s="88">
        <f>W283-U283</f>
        <v>16200</v>
      </c>
      <c r="W283" s="81">
        <f>+U283*1.2</f>
        <v>97200</v>
      </c>
      <c r="X283" s="82"/>
      <c r="Y283" s="78"/>
      <c r="Z283" s="82"/>
      <c r="AA283" s="82"/>
      <c r="AB283" s="82"/>
      <c r="AC283" s="82"/>
      <c r="AD283" s="92">
        <f>V283/P283</f>
        <v>2.7</v>
      </c>
      <c r="AE283" s="82">
        <f t="shared" si="109"/>
        <v>16.2</v>
      </c>
      <c r="AF283" s="82">
        <v>0</v>
      </c>
    </row>
    <row r="284" spans="1:32" x14ac:dyDescent="0.25">
      <c r="A284" s="49" t="s">
        <v>31</v>
      </c>
      <c r="B284" s="60" t="s">
        <v>101</v>
      </c>
      <c r="C284" s="61">
        <v>45971</v>
      </c>
      <c r="D284" s="65" t="s">
        <v>397</v>
      </c>
      <c r="E284" s="60" t="s">
        <v>105</v>
      </c>
      <c r="F284" s="62">
        <v>3000</v>
      </c>
      <c r="G284" s="61">
        <v>45975</v>
      </c>
      <c r="H284" s="63" t="s">
        <v>398</v>
      </c>
      <c r="I284" s="60" t="s">
        <v>105</v>
      </c>
      <c r="J284" s="64">
        <v>3000</v>
      </c>
      <c r="K284" s="65">
        <v>13.5</v>
      </c>
      <c r="L284" s="66">
        <f t="shared" si="107"/>
        <v>40500</v>
      </c>
      <c r="M284" s="67" t="s">
        <v>396</v>
      </c>
      <c r="N284" s="61">
        <v>45972</v>
      </c>
      <c r="O284" s="60" t="s">
        <v>105</v>
      </c>
      <c r="P284" s="31">
        <v>3000</v>
      </c>
      <c r="Q284" s="68"/>
      <c r="R284" s="69"/>
      <c r="S284" s="70"/>
      <c r="T284" s="67">
        <v>12</v>
      </c>
      <c r="U284" s="71">
        <f>+T284*P284</f>
        <v>36000</v>
      </c>
      <c r="V284" s="72">
        <f>W284-U284</f>
        <v>7200</v>
      </c>
      <c r="W284" s="66">
        <f>+U284*1.2</f>
        <v>43200</v>
      </c>
      <c r="X284" s="67"/>
      <c r="Y284" s="62"/>
      <c r="Z284" s="67"/>
      <c r="AA284" s="67"/>
      <c r="AB284" s="67"/>
      <c r="AC284" s="67"/>
      <c r="AD284" s="73">
        <f t="shared" si="91"/>
        <v>2.4</v>
      </c>
      <c r="AE284" s="67">
        <f t="shared" si="109"/>
        <v>14.4</v>
      </c>
      <c r="AF284" s="67">
        <v>0</v>
      </c>
    </row>
    <row r="285" spans="1:32" x14ac:dyDescent="0.25">
      <c r="A285" s="49" t="s">
        <v>31</v>
      </c>
      <c r="B285" s="34" t="s">
        <v>264</v>
      </c>
      <c r="C285" s="35">
        <v>45974</v>
      </c>
      <c r="D285" s="36" t="s">
        <v>399</v>
      </c>
      <c r="E285" s="34" t="s">
        <v>400</v>
      </c>
      <c r="F285" s="37">
        <v>2500</v>
      </c>
      <c r="G285" s="35">
        <v>45975</v>
      </c>
      <c r="H285" s="38" t="s">
        <v>401</v>
      </c>
      <c r="I285" s="34" t="s">
        <v>400</v>
      </c>
      <c r="J285" s="39">
        <v>2500</v>
      </c>
      <c r="K285" s="36">
        <v>19.5</v>
      </c>
      <c r="L285" s="40">
        <f t="shared" si="107"/>
        <v>48750</v>
      </c>
      <c r="M285" s="41">
        <v>250045</v>
      </c>
      <c r="N285" s="35">
        <v>45974</v>
      </c>
      <c r="O285" s="34" t="s">
        <v>400</v>
      </c>
      <c r="P285" s="42">
        <v>2500</v>
      </c>
      <c r="Q285" s="43"/>
      <c r="R285" s="44"/>
      <c r="S285" s="45"/>
      <c r="T285" s="41">
        <v>19.5</v>
      </c>
      <c r="U285" s="46">
        <f>+T285*P285</f>
        <v>48750</v>
      </c>
      <c r="V285" s="47">
        <f>+W285-U285</f>
        <v>9750</v>
      </c>
      <c r="W285" s="40">
        <f>+U285*1.2</f>
        <v>58500</v>
      </c>
      <c r="X285" s="41"/>
      <c r="Y285" s="37"/>
      <c r="Z285" s="41"/>
      <c r="AA285" s="41"/>
      <c r="AB285" s="41"/>
      <c r="AC285" s="41"/>
      <c r="AD285" s="48">
        <f t="shared" si="91"/>
        <v>3.9</v>
      </c>
      <c r="AE285" s="41">
        <f t="shared" si="109"/>
        <v>23.4</v>
      </c>
      <c r="AF285" s="41">
        <v>0</v>
      </c>
    </row>
    <row r="286" spans="1:32" x14ac:dyDescent="0.25">
      <c r="A286" s="33" t="s">
        <v>25</v>
      </c>
      <c r="B286" s="76" t="s">
        <v>26</v>
      </c>
      <c r="C286" s="77">
        <v>45916</v>
      </c>
      <c r="D286" s="50" t="s">
        <v>367</v>
      </c>
      <c r="E286" s="76" t="s">
        <v>40</v>
      </c>
      <c r="F286" s="78">
        <v>4000</v>
      </c>
      <c r="G286" s="77">
        <v>45990</v>
      </c>
      <c r="H286" s="79" t="s">
        <v>402</v>
      </c>
      <c r="I286" s="76" t="s">
        <v>40</v>
      </c>
      <c r="J286" s="80">
        <v>4000</v>
      </c>
      <c r="K286" s="50">
        <f t="shared" ref="K286:K292" si="110">T286</f>
        <v>13.962000000000002</v>
      </c>
      <c r="L286" s="81">
        <f t="shared" si="107"/>
        <v>55848.000000000007</v>
      </c>
      <c r="M286" s="82" t="s">
        <v>39</v>
      </c>
      <c r="N286" s="77">
        <v>45958</v>
      </c>
      <c r="O286" s="76" t="s">
        <v>40</v>
      </c>
      <c r="P286" s="83">
        <v>4000</v>
      </c>
      <c r="Q286" s="84">
        <v>1.3</v>
      </c>
      <c r="R286" s="85">
        <f t="shared" ref="R286:R310" si="111">P286*Q286</f>
        <v>5200</v>
      </c>
      <c r="S286" s="86">
        <v>10.74</v>
      </c>
      <c r="T286" s="82">
        <f t="shared" ref="T286:T292" si="112">Q286*S286</f>
        <v>13.962000000000002</v>
      </c>
      <c r="U286" s="87">
        <f t="shared" ref="U286:U292" si="113">P286*T286</f>
        <v>55848.000000000007</v>
      </c>
      <c r="V286" s="88">
        <f t="shared" ref="V286:V292" si="114">((0.16205533596)*P286)*S286</f>
        <v>6961.8972328415994</v>
      </c>
      <c r="W286" s="81">
        <f t="shared" ref="W286:W305" si="115">U286+V286</f>
        <v>62809.897232841606</v>
      </c>
      <c r="X286" s="82"/>
      <c r="Y286" s="78"/>
      <c r="Z286" s="82"/>
      <c r="AA286" s="82"/>
      <c r="AB286" s="82"/>
      <c r="AC286" s="82"/>
      <c r="AD286" s="89">
        <f t="shared" si="91"/>
        <v>1.7404743082103999</v>
      </c>
      <c r="AE286" s="82">
        <f t="shared" si="109"/>
        <v>15.702474308210402</v>
      </c>
      <c r="AF286" s="82">
        <v>0</v>
      </c>
    </row>
    <row r="287" spans="1:32" x14ac:dyDescent="0.25">
      <c r="A287" s="33" t="s">
        <v>25</v>
      </c>
      <c r="B287" s="2" t="s">
        <v>26</v>
      </c>
      <c r="C287" s="3">
        <v>45916</v>
      </c>
      <c r="D287" s="6" t="s">
        <v>367</v>
      </c>
      <c r="E287" s="2" t="s">
        <v>42</v>
      </c>
      <c r="F287" s="51">
        <f>2200+1100+1100+2200</f>
        <v>6600</v>
      </c>
      <c r="G287" s="3">
        <v>45990</v>
      </c>
      <c r="H287" s="4" t="s">
        <v>402</v>
      </c>
      <c r="I287" s="2" t="s">
        <v>42</v>
      </c>
      <c r="J287" s="52">
        <v>6600</v>
      </c>
      <c r="K287" s="6">
        <f t="shared" si="110"/>
        <v>6.6588000000000003</v>
      </c>
      <c r="L287" s="53">
        <f t="shared" si="107"/>
        <v>43948.08</v>
      </c>
      <c r="M287" s="1" t="s">
        <v>39</v>
      </c>
      <c r="N287" s="3">
        <v>45958</v>
      </c>
      <c r="O287" s="2" t="s">
        <v>42</v>
      </c>
      <c r="P287" s="9">
        <v>6600</v>
      </c>
      <c r="Q287" s="54">
        <v>0.62</v>
      </c>
      <c r="R287" s="55">
        <f t="shared" si="111"/>
        <v>4092</v>
      </c>
      <c r="S287" s="56">
        <v>10.74</v>
      </c>
      <c r="T287" s="1">
        <f t="shared" si="112"/>
        <v>6.6588000000000003</v>
      </c>
      <c r="U287" s="57">
        <f t="shared" si="113"/>
        <v>43948.08</v>
      </c>
      <c r="V287" s="58">
        <f t="shared" si="114"/>
        <v>11487.130434188639</v>
      </c>
      <c r="W287" s="53">
        <f t="shared" si="115"/>
        <v>55435.210434188644</v>
      </c>
      <c r="AC287" s="1"/>
      <c r="AD287" s="59">
        <f t="shared" si="91"/>
        <v>1.7404743082103997</v>
      </c>
      <c r="AE287" s="1">
        <f t="shared" si="109"/>
        <v>8.3992743082103996</v>
      </c>
      <c r="AF287" s="1">
        <v>0</v>
      </c>
    </row>
    <row r="288" spans="1:32" x14ac:dyDescent="0.25">
      <c r="A288" s="33" t="s">
        <v>25</v>
      </c>
      <c r="B288" s="2" t="s">
        <v>26</v>
      </c>
      <c r="C288" s="3">
        <v>45916</v>
      </c>
      <c r="D288" s="6" t="s">
        <v>367</v>
      </c>
      <c r="E288" s="2" t="s">
        <v>41</v>
      </c>
      <c r="F288" s="51">
        <v>8800</v>
      </c>
      <c r="G288" s="3">
        <v>45990</v>
      </c>
      <c r="H288" s="4" t="s">
        <v>402</v>
      </c>
      <c r="I288" s="2" t="s">
        <v>41</v>
      </c>
      <c r="J288" s="52">
        <v>8800</v>
      </c>
      <c r="K288" s="6">
        <f t="shared" si="110"/>
        <v>8.2698</v>
      </c>
      <c r="L288" s="53">
        <f>K288*J288</f>
        <v>72774.240000000005</v>
      </c>
      <c r="M288" s="1" t="s">
        <v>39</v>
      </c>
      <c r="N288" s="3">
        <v>45958</v>
      </c>
      <c r="O288" s="2" t="s">
        <v>41</v>
      </c>
      <c r="P288" s="9">
        <v>8800</v>
      </c>
      <c r="Q288" s="54">
        <v>0.77</v>
      </c>
      <c r="R288" s="55">
        <f t="shared" si="111"/>
        <v>6776</v>
      </c>
      <c r="S288" s="56">
        <v>10.74</v>
      </c>
      <c r="T288" s="1">
        <f t="shared" si="112"/>
        <v>8.2698</v>
      </c>
      <c r="U288" s="57">
        <f t="shared" si="113"/>
        <v>72774.240000000005</v>
      </c>
      <c r="V288" s="58">
        <f t="shared" si="114"/>
        <v>15316.173912251519</v>
      </c>
      <c r="W288" s="53">
        <f t="shared" si="115"/>
        <v>88090.413912251519</v>
      </c>
      <c r="AC288" s="1"/>
      <c r="AD288" s="59">
        <f t="shared" si="91"/>
        <v>1.7404743082103999</v>
      </c>
      <c r="AE288" s="1">
        <f t="shared" si="109"/>
        <v>10.0102743082104</v>
      </c>
      <c r="AF288" s="1">
        <v>0</v>
      </c>
    </row>
    <row r="289" spans="1:32" x14ac:dyDescent="0.25">
      <c r="A289" s="33" t="s">
        <v>25</v>
      </c>
      <c r="B289" s="2" t="s">
        <v>26</v>
      </c>
      <c r="C289" s="3">
        <v>45916</v>
      </c>
      <c r="D289" s="6" t="s">
        <v>367</v>
      </c>
      <c r="E289" s="2" t="s">
        <v>44</v>
      </c>
      <c r="F289" s="51">
        <v>2000</v>
      </c>
      <c r="G289" s="3">
        <v>45990</v>
      </c>
      <c r="H289" s="4" t="s">
        <v>402</v>
      </c>
      <c r="I289" s="2" t="s">
        <v>44</v>
      </c>
      <c r="J289" s="52">
        <v>2000</v>
      </c>
      <c r="K289" s="6">
        <f>T289</f>
        <v>11.921400000000002</v>
      </c>
      <c r="L289" s="53">
        <f>K289*J289</f>
        <v>23842.800000000003</v>
      </c>
      <c r="M289" s="1" t="s">
        <v>39</v>
      </c>
      <c r="N289" s="3">
        <v>45958</v>
      </c>
      <c r="O289" s="2" t="s">
        <v>44</v>
      </c>
      <c r="P289" s="9">
        <v>2000</v>
      </c>
      <c r="Q289" s="54">
        <v>1.1100000000000001</v>
      </c>
      <c r="R289" s="55">
        <f t="shared" si="111"/>
        <v>2220</v>
      </c>
      <c r="S289" s="56">
        <v>10.74</v>
      </c>
      <c r="T289" s="1">
        <f t="shared" si="112"/>
        <v>11.921400000000002</v>
      </c>
      <c r="U289" s="57">
        <f t="shared" si="113"/>
        <v>23842.800000000003</v>
      </c>
      <c r="V289" s="58">
        <f t="shared" si="114"/>
        <v>3480.9486164207997</v>
      </c>
      <c r="W289" s="53">
        <f t="shared" si="115"/>
        <v>27323.748616420802</v>
      </c>
      <c r="AC289" s="1"/>
      <c r="AD289" s="59">
        <f t="shared" si="91"/>
        <v>1.7404743082103999</v>
      </c>
      <c r="AE289" s="1">
        <f t="shared" si="109"/>
        <v>13.661874308210402</v>
      </c>
      <c r="AF289" s="1">
        <v>0</v>
      </c>
    </row>
    <row r="290" spans="1:32" x14ac:dyDescent="0.25">
      <c r="A290" s="33" t="s">
        <v>25</v>
      </c>
      <c r="B290" s="2" t="s">
        <v>26</v>
      </c>
      <c r="C290" s="3">
        <v>45916</v>
      </c>
      <c r="D290" s="6" t="s">
        <v>367</v>
      </c>
      <c r="E290" s="2" t="s">
        <v>403</v>
      </c>
      <c r="F290" s="51">
        <v>1900</v>
      </c>
      <c r="G290" s="3">
        <v>45990</v>
      </c>
      <c r="H290" s="4" t="s">
        <v>402</v>
      </c>
      <c r="I290" s="2" t="s">
        <v>403</v>
      </c>
      <c r="J290" s="52">
        <v>1900</v>
      </c>
      <c r="K290" s="6">
        <f t="shared" si="110"/>
        <v>29.964600000000001</v>
      </c>
      <c r="L290" s="53">
        <f t="shared" ref="L290:L305" si="116">K290*J290</f>
        <v>56932.74</v>
      </c>
      <c r="M290" s="1" t="s">
        <v>39</v>
      </c>
      <c r="N290" s="3">
        <v>45958</v>
      </c>
      <c r="O290" s="2" t="s">
        <v>403</v>
      </c>
      <c r="P290" s="9">
        <v>1900</v>
      </c>
      <c r="Q290" s="54">
        <v>2.79</v>
      </c>
      <c r="R290" s="55">
        <f t="shared" si="111"/>
        <v>5301</v>
      </c>
      <c r="S290" s="56">
        <v>10.74</v>
      </c>
      <c r="T290" s="1">
        <f t="shared" si="112"/>
        <v>29.964600000000001</v>
      </c>
      <c r="U290" s="57">
        <f t="shared" si="113"/>
        <v>56932.74</v>
      </c>
      <c r="V290" s="58">
        <f t="shared" si="114"/>
        <v>3306.9011855997601</v>
      </c>
      <c r="W290" s="53">
        <f t="shared" si="115"/>
        <v>60239.641185599758</v>
      </c>
      <c r="AC290" s="1"/>
      <c r="AD290" s="59">
        <f t="shared" si="91"/>
        <v>1.7404743082103999</v>
      </c>
      <c r="AE290" s="1">
        <f t="shared" si="109"/>
        <v>31.705074308210399</v>
      </c>
      <c r="AF290" s="1">
        <v>0</v>
      </c>
    </row>
    <row r="291" spans="1:32" x14ac:dyDescent="0.25">
      <c r="A291" s="33" t="s">
        <v>25</v>
      </c>
      <c r="B291" s="2" t="s">
        <v>404</v>
      </c>
      <c r="C291" s="3">
        <v>45916</v>
      </c>
      <c r="D291" s="6" t="s">
        <v>367</v>
      </c>
      <c r="E291" s="2" t="s">
        <v>405</v>
      </c>
      <c r="F291" s="51">
        <v>1000</v>
      </c>
      <c r="G291" s="3">
        <v>45990</v>
      </c>
      <c r="H291" s="4" t="s">
        <v>402</v>
      </c>
      <c r="I291" s="2" t="s">
        <v>405</v>
      </c>
      <c r="J291" s="52">
        <v>1000</v>
      </c>
      <c r="K291" s="6">
        <f t="shared" si="110"/>
        <v>6.444</v>
      </c>
      <c r="L291" s="53">
        <f t="shared" si="116"/>
        <v>6444</v>
      </c>
      <c r="M291" s="1" t="s">
        <v>39</v>
      </c>
      <c r="N291" s="3">
        <v>45958</v>
      </c>
      <c r="O291" s="2" t="s">
        <v>405</v>
      </c>
      <c r="P291" s="9">
        <v>1000</v>
      </c>
      <c r="Q291" s="120">
        <v>0.6</v>
      </c>
      <c r="R291" s="55">
        <f t="shared" si="111"/>
        <v>600</v>
      </c>
      <c r="S291" s="56">
        <v>10.74</v>
      </c>
      <c r="T291" s="1">
        <f t="shared" si="112"/>
        <v>6.444</v>
      </c>
      <c r="U291" s="57">
        <f t="shared" si="113"/>
        <v>6444</v>
      </c>
      <c r="V291" s="58">
        <f t="shared" si="114"/>
        <v>1740.4743082103998</v>
      </c>
      <c r="W291" s="53">
        <f t="shared" si="115"/>
        <v>8184.4743082103996</v>
      </c>
      <c r="AC291" s="1"/>
      <c r="AD291" s="59">
        <f t="shared" si="91"/>
        <v>1.7404743082103999</v>
      </c>
      <c r="AE291" s="1">
        <f t="shared" si="109"/>
        <v>8.1844743082103992</v>
      </c>
      <c r="AF291" s="1">
        <v>0</v>
      </c>
    </row>
    <row r="292" spans="1:32" x14ac:dyDescent="0.25">
      <c r="A292" s="33" t="s">
        <v>25</v>
      </c>
      <c r="B292" s="60" t="s">
        <v>47</v>
      </c>
      <c r="C292" s="61">
        <v>45916</v>
      </c>
      <c r="D292" s="65" t="s">
        <v>367</v>
      </c>
      <c r="E292" s="60" t="s">
        <v>111</v>
      </c>
      <c r="F292" s="62">
        <v>1000</v>
      </c>
      <c r="G292" s="61">
        <v>45990</v>
      </c>
      <c r="H292" s="63" t="s">
        <v>402</v>
      </c>
      <c r="I292" s="60" t="s">
        <v>111</v>
      </c>
      <c r="J292" s="64">
        <v>1000</v>
      </c>
      <c r="K292" s="65">
        <f t="shared" si="110"/>
        <v>17.291400000000003</v>
      </c>
      <c r="L292" s="66">
        <f t="shared" si="116"/>
        <v>17291.400000000001</v>
      </c>
      <c r="M292" s="67" t="s">
        <v>39</v>
      </c>
      <c r="N292" s="61">
        <v>45958</v>
      </c>
      <c r="O292" s="60" t="s">
        <v>111</v>
      </c>
      <c r="P292" s="31">
        <v>1000</v>
      </c>
      <c r="Q292" s="68">
        <v>1.61</v>
      </c>
      <c r="R292" s="69">
        <f t="shared" si="111"/>
        <v>1610</v>
      </c>
      <c r="S292" s="70">
        <v>10.74</v>
      </c>
      <c r="T292" s="67">
        <f t="shared" si="112"/>
        <v>17.291400000000003</v>
      </c>
      <c r="U292" s="71">
        <f t="shared" si="113"/>
        <v>17291.400000000001</v>
      </c>
      <c r="V292" s="72">
        <f t="shared" si="114"/>
        <v>1740.4743082103998</v>
      </c>
      <c r="W292" s="66">
        <f t="shared" si="115"/>
        <v>19031.874308210401</v>
      </c>
      <c r="X292" s="67"/>
      <c r="Y292" s="62"/>
      <c r="Z292" s="67"/>
      <c r="AA292" s="67"/>
      <c r="AB292" s="67"/>
      <c r="AC292" s="67"/>
      <c r="AD292" s="73">
        <f t="shared" si="91"/>
        <v>1.7404743082103999</v>
      </c>
      <c r="AE292" s="67">
        <f t="shared" si="109"/>
        <v>19.031874308210401</v>
      </c>
      <c r="AF292" s="67">
        <v>0</v>
      </c>
    </row>
    <row r="293" spans="1:32" x14ac:dyDescent="0.25">
      <c r="A293" s="33" t="s">
        <v>25</v>
      </c>
      <c r="B293" s="34" t="s">
        <v>406</v>
      </c>
      <c r="C293" s="35">
        <v>45951</v>
      </c>
      <c r="D293" s="36" t="s">
        <v>407</v>
      </c>
      <c r="E293" s="34" t="s">
        <v>75</v>
      </c>
      <c r="F293" s="37">
        <v>24000</v>
      </c>
      <c r="G293" s="35">
        <v>45991</v>
      </c>
      <c r="H293" s="38" t="s">
        <v>408</v>
      </c>
      <c r="I293" s="34" t="s">
        <v>409</v>
      </c>
      <c r="J293" s="39">
        <v>24000</v>
      </c>
      <c r="K293" s="36">
        <f>T293</f>
        <v>11.77</v>
      </c>
      <c r="L293" s="40">
        <f>K293*J293</f>
        <v>282480</v>
      </c>
      <c r="M293" s="41">
        <v>6</v>
      </c>
      <c r="N293" s="35">
        <v>45978</v>
      </c>
      <c r="O293" s="34" t="s">
        <v>409</v>
      </c>
      <c r="P293" s="42">
        <v>24000</v>
      </c>
      <c r="Q293" s="43">
        <v>1.1000000000000001</v>
      </c>
      <c r="R293" s="44">
        <f>P293*Q293</f>
        <v>26400.000000000004</v>
      </c>
      <c r="S293" s="45">
        <v>10.7</v>
      </c>
      <c r="T293" s="41">
        <f>Q293*S293</f>
        <v>11.77</v>
      </c>
      <c r="U293" s="46">
        <f>P293*T293</f>
        <v>282480</v>
      </c>
      <c r="V293" s="47">
        <f>((0.16205533596)*P293)*S293</f>
        <v>41615.810274527998</v>
      </c>
      <c r="W293" s="40">
        <f>U293+V293</f>
        <v>324095.81027452799</v>
      </c>
      <c r="X293" s="41"/>
      <c r="Y293" s="37"/>
      <c r="Z293" s="41"/>
      <c r="AA293" s="41"/>
      <c r="AB293" s="41"/>
      <c r="AC293" s="41"/>
      <c r="AD293" s="90">
        <f>V293/P293</f>
        <v>1.733992094772</v>
      </c>
      <c r="AE293" s="101">
        <f>T293+AD293</f>
        <v>13.503992094772</v>
      </c>
      <c r="AF293" s="41">
        <v>0</v>
      </c>
    </row>
    <row r="294" spans="1:32" x14ac:dyDescent="0.25">
      <c r="A294" s="33" t="s">
        <v>25</v>
      </c>
      <c r="B294" s="76" t="s">
        <v>26</v>
      </c>
      <c r="C294" s="77">
        <v>45916</v>
      </c>
      <c r="D294" s="6" t="s">
        <v>367</v>
      </c>
      <c r="E294" s="76" t="s">
        <v>28</v>
      </c>
      <c r="F294" s="78">
        <v>7000</v>
      </c>
      <c r="G294" s="95">
        <v>45994</v>
      </c>
      <c r="H294" s="79" t="s">
        <v>410</v>
      </c>
      <c r="I294" s="76" t="s">
        <v>28</v>
      </c>
      <c r="J294" s="80">
        <v>7000</v>
      </c>
      <c r="K294" s="50">
        <f t="shared" ref="K294:K305" si="117">T294</f>
        <v>11.824780000000002</v>
      </c>
      <c r="L294" s="81">
        <f t="shared" si="116"/>
        <v>82773.460000000021</v>
      </c>
      <c r="M294" s="82" t="s">
        <v>30</v>
      </c>
      <c r="N294" s="77">
        <v>45958</v>
      </c>
      <c r="O294" s="76" t="s">
        <v>28</v>
      </c>
      <c r="P294" s="83">
        <v>7000</v>
      </c>
      <c r="Q294" s="84">
        <v>1.1000000000000001</v>
      </c>
      <c r="R294" s="85">
        <f t="shared" si="111"/>
        <v>7700.0000000000009</v>
      </c>
      <c r="S294" s="86">
        <v>10.7498</v>
      </c>
      <c r="T294" s="82">
        <f t="shared" ref="T294:T305" si="118">Q294*S294</f>
        <v>11.824780000000002</v>
      </c>
      <c r="U294" s="87">
        <f>P294*T294</f>
        <v>82773.460000000021</v>
      </c>
      <c r="V294" s="88">
        <f t="shared" ref="V294:V305" si="119">((0.15894553207)*P294)*S294</f>
        <v>11960.428764522603</v>
      </c>
      <c r="W294" s="81">
        <f>U294+V294</f>
        <v>94733.88876452262</v>
      </c>
      <c r="X294" s="82"/>
      <c r="Y294" s="78"/>
      <c r="Z294" s="82"/>
      <c r="AA294" s="82"/>
      <c r="AB294" s="82"/>
      <c r="AC294" s="82"/>
      <c r="AD294" s="92">
        <f>V294/P294</f>
        <v>1.7086326806460861</v>
      </c>
      <c r="AE294" s="93">
        <f t="shared" ref="AE294:AE314" si="120">T294+AD294</f>
        <v>13.533412680646089</v>
      </c>
      <c r="AF294" s="82">
        <v>0</v>
      </c>
    </row>
    <row r="295" spans="1:32" x14ac:dyDescent="0.25">
      <c r="A295" s="33" t="s">
        <v>25</v>
      </c>
      <c r="B295" s="2" t="s">
        <v>26</v>
      </c>
      <c r="C295" s="3">
        <v>45916</v>
      </c>
      <c r="D295" s="6" t="s">
        <v>367</v>
      </c>
      <c r="E295" s="2" t="s">
        <v>48</v>
      </c>
      <c r="F295" s="51">
        <v>2000</v>
      </c>
      <c r="G295" s="96">
        <v>45994</v>
      </c>
      <c r="H295" s="4" t="s">
        <v>410</v>
      </c>
      <c r="I295" s="2" t="s">
        <v>48</v>
      </c>
      <c r="J295" s="52">
        <v>2000</v>
      </c>
      <c r="K295" s="6">
        <f t="shared" si="117"/>
        <v>16.662190000000002</v>
      </c>
      <c r="L295" s="53">
        <f t="shared" si="116"/>
        <v>33324.380000000005</v>
      </c>
      <c r="M295" s="1" t="s">
        <v>30</v>
      </c>
      <c r="N295" s="3">
        <v>45958</v>
      </c>
      <c r="O295" s="2" t="s">
        <v>48</v>
      </c>
      <c r="P295" s="9">
        <v>2000</v>
      </c>
      <c r="Q295" s="54">
        <v>1.55</v>
      </c>
      <c r="R295" s="55">
        <f t="shared" si="111"/>
        <v>3100</v>
      </c>
      <c r="S295" s="56">
        <v>10.7498</v>
      </c>
      <c r="T295" s="1">
        <f t="shared" si="118"/>
        <v>16.662190000000002</v>
      </c>
      <c r="U295" s="57">
        <f t="shared" ref="U295:U305" si="121">P295*T295</f>
        <v>33324.380000000005</v>
      </c>
      <c r="V295" s="58">
        <f t="shared" si="119"/>
        <v>3417.2653612921722</v>
      </c>
      <c r="W295" s="53">
        <f t="shared" si="115"/>
        <v>36741.645361292176</v>
      </c>
      <c r="AC295" s="1"/>
      <c r="AD295" s="59">
        <f t="shared" si="91"/>
        <v>1.7086326806460861</v>
      </c>
      <c r="AE295" s="1">
        <f t="shared" si="120"/>
        <v>18.370822680646089</v>
      </c>
      <c r="AF295" s="1">
        <v>0</v>
      </c>
    </row>
    <row r="296" spans="1:32" x14ac:dyDescent="0.25">
      <c r="A296" s="33" t="s">
        <v>25</v>
      </c>
      <c r="B296" s="2" t="s">
        <v>26</v>
      </c>
      <c r="C296" s="3">
        <v>45916</v>
      </c>
      <c r="D296" s="6" t="s">
        <v>367</v>
      </c>
      <c r="E296" s="2" t="s">
        <v>54</v>
      </c>
      <c r="F296" s="51">
        <v>1000</v>
      </c>
      <c r="G296" s="96">
        <v>45994</v>
      </c>
      <c r="H296" s="4" t="s">
        <v>410</v>
      </c>
      <c r="I296" s="2" t="s">
        <v>54</v>
      </c>
      <c r="J296" s="52">
        <v>1000</v>
      </c>
      <c r="K296" s="6">
        <f t="shared" si="117"/>
        <v>23.004572000000003</v>
      </c>
      <c r="L296" s="53">
        <f>K296*J296</f>
        <v>23004.572000000004</v>
      </c>
      <c r="M296" s="1" t="s">
        <v>30</v>
      </c>
      <c r="N296" s="3">
        <v>45958</v>
      </c>
      <c r="O296" s="2" t="s">
        <v>54</v>
      </c>
      <c r="P296" s="9">
        <v>1000</v>
      </c>
      <c r="Q296" s="54">
        <v>2.14</v>
      </c>
      <c r="R296" s="55">
        <f t="shared" si="111"/>
        <v>2140</v>
      </c>
      <c r="S296" s="56">
        <v>10.7498</v>
      </c>
      <c r="T296" s="1">
        <f t="shared" si="118"/>
        <v>23.004572000000003</v>
      </c>
      <c r="U296" s="57">
        <f t="shared" si="121"/>
        <v>23004.572000000004</v>
      </c>
      <c r="V296" s="58">
        <f t="shared" si="119"/>
        <v>1708.6326806460861</v>
      </c>
      <c r="W296" s="53">
        <f t="shared" si="115"/>
        <v>24713.204680646089</v>
      </c>
      <c r="AC296" s="1"/>
      <c r="AD296" s="59">
        <f t="shared" si="91"/>
        <v>1.7086326806460861</v>
      </c>
      <c r="AE296" s="1">
        <f t="shared" si="120"/>
        <v>24.71320468064609</v>
      </c>
      <c r="AF296" s="1">
        <v>0</v>
      </c>
    </row>
    <row r="297" spans="1:32" x14ac:dyDescent="0.25">
      <c r="A297" s="33" t="s">
        <v>25</v>
      </c>
      <c r="B297" s="2" t="s">
        <v>26</v>
      </c>
      <c r="C297" s="3">
        <v>45916</v>
      </c>
      <c r="D297" s="6" t="s">
        <v>367</v>
      </c>
      <c r="E297" s="2" t="s">
        <v>411</v>
      </c>
      <c r="F297" s="51">
        <v>5000</v>
      </c>
      <c r="G297" s="96">
        <v>45994</v>
      </c>
      <c r="H297" s="4" t="s">
        <v>410</v>
      </c>
      <c r="I297" s="2" t="s">
        <v>411</v>
      </c>
      <c r="J297" s="52">
        <v>5000</v>
      </c>
      <c r="K297" s="6">
        <f t="shared" si="117"/>
        <v>19.779632000000003</v>
      </c>
      <c r="L297" s="53">
        <f t="shared" si="116"/>
        <v>98898.160000000018</v>
      </c>
      <c r="M297" s="1" t="s">
        <v>30</v>
      </c>
      <c r="N297" s="3">
        <v>45958</v>
      </c>
      <c r="O297" s="2" t="s">
        <v>411</v>
      </c>
      <c r="P297" s="9">
        <v>5000</v>
      </c>
      <c r="Q297" s="54">
        <v>1.84</v>
      </c>
      <c r="R297" s="55">
        <f t="shared" si="111"/>
        <v>9200</v>
      </c>
      <c r="S297" s="56">
        <v>10.7498</v>
      </c>
      <c r="T297" s="1">
        <f t="shared" si="118"/>
        <v>19.779632000000003</v>
      </c>
      <c r="U297" s="57">
        <f t="shared" si="121"/>
        <v>98898.160000000018</v>
      </c>
      <c r="V297" s="58">
        <f t="shared" si="119"/>
        <v>8543.1634032304319</v>
      </c>
      <c r="W297" s="53">
        <f t="shared" si="115"/>
        <v>107441.32340323045</v>
      </c>
      <c r="AC297" s="1"/>
      <c r="AD297" s="59">
        <f t="shared" si="91"/>
        <v>1.7086326806460863</v>
      </c>
      <c r="AE297" s="1">
        <f t="shared" si="120"/>
        <v>21.48826468064609</v>
      </c>
      <c r="AF297" s="1">
        <v>0</v>
      </c>
    </row>
    <row r="298" spans="1:32" x14ac:dyDescent="0.25">
      <c r="A298" s="33" t="s">
        <v>25</v>
      </c>
      <c r="B298" s="2" t="s">
        <v>26</v>
      </c>
      <c r="C298" s="3">
        <v>45916</v>
      </c>
      <c r="D298" s="6" t="s">
        <v>367</v>
      </c>
      <c r="E298" s="2" t="s">
        <v>148</v>
      </c>
      <c r="F298" s="51">
        <v>1000</v>
      </c>
      <c r="G298" s="96">
        <v>45994</v>
      </c>
      <c r="H298" s="4" t="s">
        <v>410</v>
      </c>
      <c r="I298" s="2" t="s">
        <v>148</v>
      </c>
      <c r="J298" s="52">
        <v>1000</v>
      </c>
      <c r="K298" s="6">
        <f t="shared" si="117"/>
        <v>15.587210000000001</v>
      </c>
      <c r="L298" s="53">
        <f t="shared" si="116"/>
        <v>15587.210000000001</v>
      </c>
      <c r="M298" s="1" t="s">
        <v>30</v>
      </c>
      <c r="N298" s="3">
        <v>45958</v>
      </c>
      <c r="O298" s="2" t="s">
        <v>148</v>
      </c>
      <c r="P298" s="9">
        <v>1000</v>
      </c>
      <c r="Q298" s="54">
        <v>1.45</v>
      </c>
      <c r="R298" s="55">
        <f t="shared" si="111"/>
        <v>1450</v>
      </c>
      <c r="S298" s="56">
        <v>10.7498</v>
      </c>
      <c r="T298" s="1">
        <f t="shared" si="118"/>
        <v>15.587210000000001</v>
      </c>
      <c r="U298" s="57">
        <f t="shared" si="121"/>
        <v>15587.210000000001</v>
      </c>
      <c r="V298" s="58">
        <f t="shared" si="119"/>
        <v>1708.6326806460861</v>
      </c>
      <c r="W298" s="53">
        <f t="shared" si="115"/>
        <v>17295.842680646088</v>
      </c>
      <c r="AC298" s="1"/>
      <c r="AD298" s="59">
        <f t="shared" si="91"/>
        <v>1.7086326806460861</v>
      </c>
      <c r="AE298" s="1">
        <f t="shared" si="120"/>
        <v>17.295842680646086</v>
      </c>
      <c r="AF298" s="1">
        <v>0</v>
      </c>
    </row>
    <row r="299" spans="1:32" x14ac:dyDescent="0.25">
      <c r="A299" s="33" t="s">
        <v>25</v>
      </c>
      <c r="B299" s="2" t="s">
        <v>26</v>
      </c>
      <c r="C299" s="3">
        <v>45916</v>
      </c>
      <c r="D299" s="6" t="s">
        <v>367</v>
      </c>
      <c r="E299" s="2" t="s">
        <v>122</v>
      </c>
      <c r="F299" s="51">
        <v>1000</v>
      </c>
      <c r="G299" s="96">
        <v>45994</v>
      </c>
      <c r="H299" s="4" t="s">
        <v>410</v>
      </c>
      <c r="I299" s="2" t="s">
        <v>122</v>
      </c>
      <c r="J299" s="52">
        <v>1000</v>
      </c>
      <c r="K299" s="6">
        <f t="shared" si="117"/>
        <v>6.4498800000000003</v>
      </c>
      <c r="L299" s="53">
        <f t="shared" si="116"/>
        <v>6449.88</v>
      </c>
      <c r="M299" s="1" t="s">
        <v>30</v>
      </c>
      <c r="N299" s="3">
        <v>45958</v>
      </c>
      <c r="O299" s="2" t="s">
        <v>122</v>
      </c>
      <c r="P299" s="9">
        <v>1000</v>
      </c>
      <c r="Q299" s="54">
        <v>0.6</v>
      </c>
      <c r="R299" s="55">
        <f t="shared" si="111"/>
        <v>600</v>
      </c>
      <c r="S299" s="56">
        <v>10.7498</v>
      </c>
      <c r="T299" s="1">
        <f t="shared" si="118"/>
        <v>6.4498800000000003</v>
      </c>
      <c r="U299" s="57">
        <f t="shared" si="121"/>
        <v>6449.88</v>
      </c>
      <c r="V299" s="58">
        <f t="shared" si="119"/>
        <v>1708.6326806460861</v>
      </c>
      <c r="W299" s="53">
        <f t="shared" si="115"/>
        <v>8158.5126806460867</v>
      </c>
      <c r="AC299" s="1"/>
      <c r="AD299" s="59">
        <f t="shared" si="91"/>
        <v>1.7086326806460861</v>
      </c>
      <c r="AE299" s="1">
        <f t="shared" si="120"/>
        <v>8.158512680646087</v>
      </c>
      <c r="AF299" s="1">
        <v>0</v>
      </c>
    </row>
    <row r="300" spans="1:32" x14ac:dyDescent="0.25">
      <c r="A300" s="33" t="s">
        <v>25</v>
      </c>
      <c r="B300" s="2" t="s">
        <v>26</v>
      </c>
      <c r="C300" s="3">
        <v>45916</v>
      </c>
      <c r="D300" s="6" t="s">
        <v>367</v>
      </c>
      <c r="E300" s="2" t="s">
        <v>111</v>
      </c>
      <c r="F300" s="51">
        <v>5000</v>
      </c>
      <c r="G300" s="96">
        <v>45994</v>
      </c>
      <c r="H300" s="4" t="s">
        <v>410</v>
      </c>
      <c r="I300" s="2" t="s">
        <v>111</v>
      </c>
      <c r="J300" s="52">
        <v>5000</v>
      </c>
      <c r="K300" s="6">
        <f t="shared" si="117"/>
        <v>17.307178</v>
      </c>
      <c r="L300" s="53">
        <f t="shared" si="116"/>
        <v>86535.89</v>
      </c>
      <c r="M300" s="1" t="s">
        <v>30</v>
      </c>
      <c r="N300" s="3">
        <v>45958</v>
      </c>
      <c r="O300" s="2" t="s">
        <v>111</v>
      </c>
      <c r="P300" s="9">
        <v>5000</v>
      </c>
      <c r="Q300" s="54">
        <v>1.61</v>
      </c>
      <c r="R300" s="55">
        <f t="shared" si="111"/>
        <v>8050.0000000000009</v>
      </c>
      <c r="S300" s="56">
        <v>10.7498</v>
      </c>
      <c r="T300" s="1">
        <f t="shared" si="118"/>
        <v>17.307178</v>
      </c>
      <c r="U300" s="57">
        <f t="shared" si="121"/>
        <v>86535.89</v>
      </c>
      <c r="V300" s="58">
        <f t="shared" si="119"/>
        <v>8543.1634032304319</v>
      </c>
      <c r="W300" s="53">
        <f t="shared" si="115"/>
        <v>95079.053403230428</v>
      </c>
      <c r="AC300" s="1"/>
      <c r="AD300" s="59">
        <f t="shared" si="91"/>
        <v>1.7086326806460863</v>
      </c>
      <c r="AE300" s="1">
        <f t="shared" si="120"/>
        <v>19.015810680646087</v>
      </c>
      <c r="AF300" s="1">
        <v>0</v>
      </c>
    </row>
    <row r="301" spans="1:32" x14ac:dyDescent="0.25">
      <c r="A301" s="33" t="s">
        <v>25</v>
      </c>
      <c r="B301" s="2" t="s">
        <v>26</v>
      </c>
      <c r="C301" s="3">
        <v>45916</v>
      </c>
      <c r="D301" s="6" t="s">
        <v>367</v>
      </c>
      <c r="E301" s="2" t="s">
        <v>52</v>
      </c>
      <c r="F301" s="51">
        <v>1000</v>
      </c>
      <c r="G301" s="96">
        <v>45994</v>
      </c>
      <c r="H301" s="4" t="s">
        <v>410</v>
      </c>
      <c r="I301" s="2" t="s">
        <v>52</v>
      </c>
      <c r="J301" s="52">
        <v>1000</v>
      </c>
      <c r="K301" s="6">
        <f t="shared" si="117"/>
        <v>9.244828</v>
      </c>
      <c r="L301" s="53">
        <f t="shared" si="116"/>
        <v>9244.8279999999995</v>
      </c>
      <c r="M301" s="1" t="s">
        <v>30</v>
      </c>
      <c r="N301" s="3">
        <v>45958</v>
      </c>
      <c r="O301" s="2" t="s">
        <v>52</v>
      </c>
      <c r="P301" s="9">
        <v>1000</v>
      </c>
      <c r="Q301" s="54">
        <v>0.86</v>
      </c>
      <c r="R301" s="55">
        <f t="shared" si="111"/>
        <v>860</v>
      </c>
      <c r="S301" s="56">
        <v>10.7498</v>
      </c>
      <c r="T301" s="1">
        <f t="shared" si="118"/>
        <v>9.244828</v>
      </c>
      <c r="U301" s="57">
        <f t="shared" si="121"/>
        <v>9244.8279999999995</v>
      </c>
      <c r="V301" s="58">
        <f t="shared" si="119"/>
        <v>1708.6326806460861</v>
      </c>
      <c r="W301" s="53">
        <f t="shared" si="115"/>
        <v>10953.460680646085</v>
      </c>
      <c r="AC301" s="1"/>
      <c r="AD301" s="59">
        <f t="shared" si="91"/>
        <v>1.7086326806460861</v>
      </c>
      <c r="AE301" s="1">
        <f t="shared" si="120"/>
        <v>10.953460680646087</v>
      </c>
      <c r="AF301" s="1">
        <v>0</v>
      </c>
    </row>
    <row r="302" spans="1:32" x14ac:dyDescent="0.25">
      <c r="A302" s="33" t="s">
        <v>25</v>
      </c>
      <c r="B302" s="2" t="s">
        <v>47</v>
      </c>
      <c r="C302" s="3">
        <v>45916</v>
      </c>
      <c r="D302" s="6" t="s">
        <v>367</v>
      </c>
      <c r="E302" s="2" t="s">
        <v>291</v>
      </c>
      <c r="F302" s="51">
        <v>600</v>
      </c>
      <c r="G302" s="96">
        <v>45994</v>
      </c>
      <c r="H302" s="4" t="s">
        <v>410</v>
      </c>
      <c r="I302" s="2" t="s">
        <v>291</v>
      </c>
      <c r="J302" s="52">
        <v>600</v>
      </c>
      <c r="K302" s="6">
        <f t="shared" si="117"/>
        <v>19.564636</v>
      </c>
      <c r="L302" s="53">
        <f t="shared" si="116"/>
        <v>11738.7816</v>
      </c>
      <c r="M302" s="1" t="s">
        <v>30</v>
      </c>
      <c r="N302" s="3">
        <v>45958</v>
      </c>
      <c r="O302" s="2" t="s">
        <v>291</v>
      </c>
      <c r="P302" s="9">
        <v>600</v>
      </c>
      <c r="Q302" s="54">
        <v>1.82</v>
      </c>
      <c r="R302" s="55">
        <f t="shared" si="111"/>
        <v>1092</v>
      </c>
      <c r="S302" s="56">
        <v>10.7498</v>
      </c>
      <c r="T302" s="1">
        <f t="shared" si="118"/>
        <v>19.564636</v>
      </c>
      <c r="U302" s="57">
        <f t="shared" si="121"/>
        <v>11738.7816</v>
      </c>
      <c r="V302" s="58">
        <f t="shared" si="119"/>
        <v>1025.1796083876518</v>
      </c>
      <c r="W302" s="53">
        <f t="shared" si="115"/>
        <v>12763.961208387653</v>
      </c>
      <c r="AC302" s="1"/>
      <c r="AD302" s="74">
        <f>V302/P302</f>
        <v>1.7086326806460863</v>
      </c>
      <c r="AE302" s="98">
        <f t="shared" si="120"/>
        <v>21.273268680646087</v>
      </c>
      <c r="AF302" s="1">
        <v>0</v>
      </c>
    </row>
    <row r="303" spans="1:32" x14ac:dyDescent="0.25">
      <c r="A303" s="33" t="s">
        <v>25</v>
      </c>
      <c r="B303" s="2" t="s">
        <v>47</v>
      </c>
      <c r="C303" s="3">
        <v>45916</v>
      </c>
      <c r="D303" s="6" t="s">
        <v>367</v>
      </c>
      <c r="E303" s="2" t="s">
        <v>110</v>
      </c>
      <c r="F303" s="51">
        <v>145</v>
      </c>
      <c r="G303" s="96">
        <v>45994</v>
      </c>
      <c r="H303" s="4" t="s">
        <v>410</v>
      </c>
      <c r="I303" s="2" t="s">
        <v>110</v>
      </c>
      <c r="J303" s="52">
        <v>145</v>
      </c>
      <c r="K303" s="6">
        <f t="shared" si="117"/>
        <v>22.789576000000004</v>
      </c>
      <c r="L303" s="53">
        <f t="shared" si="116"/>
        <v>3304.4885200000003</v>
      </c>
      <c r="M303" s="1" t="s">
        <v>30</v>
      </c>
      <c r="N303" s="3">
        <v>45958</v>
      </c>
      <c r="O303" s="2" t="s">
        <v>110</v>
      </c>
      <c r="P303" s="9">
        <v>145</v>
      </c>
      <c r="Q303" s="54">
        <v>2.12</v>
      </c>
      <c r="R303" s="55">
        <f t="shared" si="111"/>
        <v>307.40000000000003</v>
      </c>
      <c r="S303" s="56">
        <v>10.7498</v>
      </c>
      <c r="T303" s="1">
        <f t="shared" si="118"/>
        <v>22.789576000000004</v>
      </c>
      <c r="U303" s="57">
        <f t="shared" si="121"/>
        <v>3304.4885200000003</v>
      </c>
      <c r="V303" s="58">
        <f t="shared" si="119"/>
        <v>247.75173869368248</v>
      </c>
      <c r="W303" s="53">
        <f t="shared" si="115"/>
        <v>3552.2402586936828</v>
      </c>
      <c r="AC303" s="1"/>
      <c r="AD303" s="74">
        <f>V303/P303</f>
        <v>1.7086326806460861</v>
      </c>
      <c r="AE303" s="98">
        <f t="shared" si="120"/>
        <v>24.498208680646091</v>
      </c>
      <c r="AF303" s="1">
        <v>0</v>
      </c>
    </row>
    <row r="304" spans="1:32" x14ac:dyDescent="0.25">
      <c r="A304" s="33" t="s">
        <v>25</v>
      </c>
      <c r="B304" s="2" t="s">
        <v>47</v>
      </c>
      <c r="C304" s="3">
        <v>45916</v>
      </c>
      <c r="D304" s="6" t="s">
        <v>367</v>
      </c>
      <c r="E304" s="2" t="s">
        <v>42</v>
      </c>
      <c r="F304" s="51">
        <v>1100</v>
      </c>
      <c r="G304" s="96">
        <v>45994</v>
      </c>
      <c r="H304" s="4" t="s">
        <v>410</v>
      </c>
      <c r="I304" s="2" t="s">
        <v>42</v>
      </c>
      <c r="J304" s="52">
        <v>1100</v>
      </c>
      <c r="K304" s="6">
        <f t="shared" si="117"/>
        <v>6.6648760000000005</v>
      </c>
      <c r="L304" s="53">
        <f t="shared" si="116"/>
        <v>7331.3636000000006</v>
      </c>
      <c r="M304" s="1" t="s">
        <v>30</v>
      </c>
      <c r="N304" s="3">
        <v>45958</v>
      </c>
      <c r="O304" s="2" t="s">
        <v>42</v>
      </c>
      <c r="P304" s="9">
        <v>1100</v>
      </c>
      <c r="Q304" s="54">
        <v>0.62</v>
      </c>
      <c r="R304" s="55">
        <f t="shared" si="111"/>
        <v>682</v>
      </c>
      <c r="S304" s="56">
        <v>10.7498</v>
      </c>
      <c r="T304" s="1">
        <f t="shared" si="118"/>
        <v>6.6648760000000005</v>
      </c>
      <c r="U304" s="57">
        <f t="shared" si="121"/>
        <v>7331.3636000000006</v>
      </c>
      <c r="V304" s="58">
        <f t="shared" si="119"/>
        <v>1879.4959487106948</v>
      </c>
      <c r="W304" s="53">
        <f t="shared" si="115"/>
        <v>9210.8595487106959</v>
      </c>
      <c r="AC304" s="1"/>
      <c r="AD304" s="59">
        <f t="shared" si="91"/>
        <v>1.7086326806460863</v>
      </c>
      <c r="AE304" s="1">
        <f t="shared" si="120"/>
        <v>8.3735086806460863</v>
      </c>
      <c r="AF304" s="1">
        <v>0</v>
      </c>
    </row>
    <row r="305" spans="1:32" x14ac:dyDescent="0.25">
      <c r="A305" s="33" t="s">
        <v>25</v>
      </c>
      <c r="B305" s="60" t="s">
        <v>47</v>
      </c>
      <c r="C305" s="61">
        <v>45916</v>
      </c>
      <c r="D305" s="65" t="s">
        <v>367</v>
      </c>
      <c r="E305" s="60" t="s">
        <v>221</v>
      </c>
      <c r="F305" s="62">
        <v>950</v>
      </c>
      <c r="G305" s="75">
        <v>45994</v>
      </c>
      <c r="H305" s="63" t="s">
        <v>410</v>
      </c>
      <c r="I305" s="60" t="s">
        <v>221</v>
      </c>
      <c r="J305" s="64">
        <v>950</v>
      </c>
      <c r="K305" s="65">
        <f t="shared" si="117"/>
        <v>29.991942000000002</v>
      </c>
      <c r="L305" s="66">
        <f t="shared" si="116"/>
        <v>28492.3449</v>
      </c>
      <c r="M305" s="67" t="s">
        <v>30</v>
      </c>
      <c r="N305" s="61">
        <v>45958</v>
      </c>
      <c r="O305" s="60" t="s">
        <v>221</v>
      </c>
      <c r="P305" s="31">
        <v>950</v>
      </c>
      <c r="Q305" s="68">
        <v>2.79</v>
      </c>
      <c r="R305" s="69">
        <f t="shared" si="111"/>
        <v>2650.5</v>
      </c>
      <c r="S305" s="70">
        <v>10.7498</v>
      </c>
      <c r="T305" s="67">
        <f t="shared" si="118"/>
        <v>29.991942000000002</v>
      </c>
      <c r="U305" s="71">
        <f t="shared" si="121"/>
        <v>28492.3449</v>
      </c>
      <c r="V305" s="72">
        <f t="shared" si="119"/>
        <v>1623.201046613782</v>
      </c>
      <c r="W305" s="66">
        <f t="shared" si="115"/>
        <v>30115.545946613784</v>
      </c>
      <c r="X305" s="67"/>
      <c r="Y305" s="62"/>
      <c r="Z305" s="67"/>
      <c r="AA305" s="67"/>
      <c r="AB305" s="67"/>
      <c r="AC305" s="67"/>
      <c r="AD305" s="73">
        <f t="shared" si="91"/>
        <v>1.7086326806460863</v>
      </c>
      <c r="AE305" s="67">
        <f t="shared" si="120"/>
        <v>31.700574680646088</v>
      </c>
      <c r="AF305" s="67">
        <v>0</v>
      </c>
    </row>
    <row r="306" spans="1:32" x14ac:dyDescent="0.25">
      <c r="A306" s="49" t="s">
        <v>31</v>
      </c>
      <c r="B306" s="34" t="s">
        <v>101</v>
      </c>
      <c r="C306" s="35">
        <v>45978</v>
      </c>
      <c r="D306" s="36" t="s">
        <v>412</v>
      </c>
      <c r="E306" s="34" t="s">
        <v>128</v>
      </c>
      <c r="F306" s="37">
        <v>13000</v>
      </c>
      <c r="G306" s="35">
        <v>45993</v>
      </c>
      <c r="H306" s="38" t="s">
        <v>413</v>
      </c>
      <c r="I306" s="34" t="s">
        <v>128</v>
      </c>
      <c r="J306" s="39">
        <v>13000</v>
      </c>
      <c r="K306" s="36">
        <v>12.5</v>
      </c>
      <c r="L306" s="40">
        <f t="shared" ref="L306:L317" si="122">+K306*J306</f>
        <v>162500</v>
      </c>
      <c r="M306" s="82" t="s">
        <v>414</v>
      </c>
      <c r="N306" s="35">
        <v>45988</v>
      </c>
      <c r="O306" s="34" t="s">
        <v>128</v>
      </c>
      <c r="P306" s="42">
        <v>13000</v>
      </c>
      <c r="Q306" s="43">
        <v>12.5</v>
      </c>
      <c r="R306" s="44">
        <f t="shared" si="111"/>
        <v>162500</v>
      </c>
      <c r="S306" s="45"/>
      <c r="T306" s="41">
        <v>12.5</v>
      </c>
      <c r="U306" s="46">
        <f>+T306*P306</f>
        <v>162500</v>
      </c>
      <c r="V306" s="47">
        <v>32500</v>
      </c>
      <c r="W306" s="40">
        <f>+V306+U306</f>
        <v>195000</v>
      </c>
      <c r="X306" s="41"/>
      <c r="Y306" s="37"/>
      <c r="Z306" s="41"/>
      <c r="AA306" s="41"/>
      <c r="AB306" s="41"/>
      <c r="AC306" s="41"/>
      <c r="AD306" s="48">
        <f t="shared" si="91"/>
        <v>2.5</v>
      </c>
      <c r="AE306" s="41">
        <f t="shared" si="120"/>
        <v>15</v>
      </c>
      <c r="AF306" s="41">
        <v>0</v>
      </c>
    </row>
    <row r="307" spans="1:32" x14ac:dyDescent="0.25">
      <c r="A307" s="49" t="s">
        <v>31</v>
      </c>
      <c r="B307" s="76" t="s">
        <v>78</v>
      </c>
      <c r="C307" s="77">
        <v>45978</v>
      </c>
      <c r="D307" s="50" t="s">
        <v>415</v>
      </c>
      <c r="E307" s="76" t="s">
        <v>83</v>
      </c>
      <c r="F307" s="78">
        <v>2000</v>
      </c>
      <c r="G307" s="77">
        <v>45993</v>
      </c>
      <c r="H307" s="79" t="s">
        <v>416</v>
      </c>
      <c r="I307" s="76" t="s">
        <v>83</v>
      </c>
      <c r="J307" s="80">
        <v>2000</v>
      </c>
      <c r="K307" s="50">
        <v>4.4000000000000004</v>
      </c>
      <c r="L307" s="87">
        <f t="shared" si="122"/>
        <v>8800</v>
      </c>
      <c r="M307" s="89" t="s">
        <v>417</v>
      </c>
      <c r="N307" s="77">
        <v>45992</v>
      </c>
      <c r="O307" s="76" t="s">
        <v>83</v>
      </c>
      <c r="P307" s="83">
        <v>2000</v>
      </c>
      <c r="Q307" s="84"/>
      <c r="R307" s="85">
        <f t="shared" si="111"/>
        <v>0</v>
      </c>
      <c r="S307" s="86"/>
      <c r="T307" s="82">
        <v>4.4000000000000004</v>
      </c>
      <c r="U307" s="87">
        <f>+T307*P307</f>
        <v>8800</v>
      </c>
      <c r="V307" s="88">
        <f>+W307-U307</f>
        <v>1760</v>
      </c>
      <c r="W307" s="81">
        <f>+U307*1.2</f>
        <v>10560</v>
      </c>
      <c r="X307" s="82"/>
      <c r="Y307" s="78"/>
      <c r="Z307" s="82"/>
      <c r="AA307" s="82"/>
      <c r="AB307" s="82"/>
      <c r="AC307" s="82"/>
      <c r="AD307" s="89">
        <f t="shared" si="91"/>
        <v>0.88</v>
      </c>
      <c r="AE307" s="82">
        <f t="shared" si="120"/>
        <v>5.28</v>
      </c>
      <c r="AF307" s="82">
        <v>0</v>
      </c>
    </row>
    <row r="308" spans="1:32" x14ac:dyDescent="0.25">
      <c r="A308" s="49" t="s">
        <v>31</v>
      </c>
      <c r="B308" s="2" t="s">
        <v>78</v>
      </c>
      <c r="C308" s="3">
        <v>45978</v>
      </c>
      <c r="D308" s="6" t="s">
        <v>415</v>
      </c>
      <c r="E308" s="2" t="s">
        <v>84</v>
      </c>
      <c r="F308" s="51">
        <v>2000</v>
      </c>
      <c r="G308" s="3">
        <v>45993</v>
      </c>
      <c r="H308" s="4" t="s">
        <v>416</v>
      </c>
      <c r="I308" s="2" t="s">
        <v>84</v>
      </c>
      <c r="J308" s="52">
        <v>2000</v>
      </c>
      <c r="K308" s="6">
        <v>4</v>
      </c>
      <c r="L308" s="57">
        <f t="shared" si="122"/>
        <v>8000</v>
      </c>
      <c r="M308" s="59" t="s">
        <v>417</v>
      </c>
      <c r="N308" s="3">
        <v>45992</v>
      </c>
      <c r="O308" s="2" t="s">
        <v>84</v>
      </c>
      <c r="P308" s="9">
        <v>2000</v>
      </c>
      <c r="Q308" s="54"/>
      <c r="R308" s="55">
        <f t="shared" si="111"/>
        <v>0</v>
      </c>
      <c r="S308" s="56"/>
      <c r="T308" s="1">
        <v>4</v>
      </c>
      <c r="U308" s="57">
        <f>+T308*P308</f>
        <v>8000</v>
      </c>
      <c r="V308" s="58">
        <f>+W308-U308</f>
        <v>1600</v>
      </c>
      <c r="W308" s="53">
        <f>+U308*1.2</f>
        <v>9600</v>
      </c>
      <c r="AC308" s="1"/>
      <c r="AD308" s="59">
        <f t="shared" si="91"/>
        <v>0.8</v>
      </c>
      <c r="AE308" s="1">
        <f t="shared" si="120"/>
        <v>4.8</v>
      </c>
      <c r="AF308" s="1">
        <v>0</v>
      </c>
    </row>
    <row r="309" spans="1:32" x14ac:dyDescent="0.25">
      <c r="A309" s="49" t="s">
        <v>31</v>
      </c>
      <c r="B309" s="2" t="s">
        <v>78</v>
      </c>
      <c r="C309" s="3">
        <v>45978</v>
      </c>
      <c r="D309" s="6" t="s">
        <v>415</v>
      </c>
      <c r="E309" s="2" t="s">
        <v>85</v>
      </c>
      <c r="F309" s="51">
        <v>500</v>
      </c>
      <c r="G309" s="3">
        <v>45993</v>
      </c>
      <c r="H309" s="4" t="s">
        <v>416</v>
      </c>
      <c r="I309" s="2" t="s">
        <v>85</v>
      </c>
      <c r="J309" s="52">
        <v>500</v>
      </c>
      <c r="K309" s="6">
        <v>14</v>
      </c>
      <c r="L309" s="57">
        <f t="shared" si="122"/>
        <v>7000</v>
      </c>
      <c r="M309" s="59" t="s">
        <v>417</v>
      </c>
      <c r="N309" s="3">
        <v>45992</v>
      </c>
      <c r="O309" s="2" t="s">
        <v>85</v>
      </c>
      <c r="P309" s="9">
        <v>500</v>
      </c>
      <c r="Q309" s="54"/>
      <c r="R309" s="55">
        <f t="shared" si="111"/>
        <v>0</v>
      </c>
      <c r="S309" s="56"/>
      <c r="T309" s="1">
        <v>14</v>
      </c>
      <c r="U309" s="57">
        <f>+T309*P309</f>
        <v>7000</v>
      </c>
      <c r="V309" s="58">
        <f>+W309-U309</f>
        <v>1400</v>
      </c>
      <c r="W309" s="53">
        <f>+U309*1.2</f>
        <v>8400</v>
      </c>
      <c r="AC309" s="1"/>
      <c r="AD309" s="74">
        <f>V309/P309</f>
        <v>2.8</v>
      </c>
      <c r="AE309" s="98">
        <f>T309+AD309</f>
        <v>16.8</v>
      </c>
      <c r="AF309" s="1">
        <v>0</v>
      </c>
    </row>
    <row r="310" spans="1:32" x14ac:dyDescent="0.25">
      <c r="A310" s="49" t="s">
        <v>31</v>
      </c>
      <c r="B310" s="60" t="s">
        <v>78</v>
      </c>
      <c r="C310" s="61">
        <v>45978</v>
      </c>
      <c r="D310" s="65" t="s">
        <v>415</v>
      </c>
      <c r="E310" s="60" t="s">
        <v>138</v>
      </c>
      <c r="F310" s="62">
        <v>3000</v>
      </c>
      <c r="G310" s="61">
        <v>45993</v>
      </c>
      <c r="H310" s="63" t="s">
        <v>416</v>
      </c>
      <c r="I310" s="60" t="s">
        <v>138</v>
      </c>
      <c r="J310" s="64">
        <v>3000</v>
      </c>
      <c r="K310" s="65">
        <v>7.5</v>
      </c>
      <c r="L310" s="71">
        <f t="shared" si="122"/>
        <v>22500</v>
      </c>
      <c r="M310" s="73" t="s">
        <v>417</v>
      </c>
      <c r="N310" s="61">
        <v>45992</v>
      </c>
      <c r="O310" s="60" t="s">
        <v>138</v>
      </c>
      <c r="P310" s="31">
        <v>3000</v>
      </c>
      <c r="Q310" s="68"/>
      <c r="R310" s="69">
        <f t="shared" si="111"/>
        <v>0</v>
      </c>
      <c r="S310" s="70"/>
      <c r="T310" s="67">
        <v>7.5</v>
      </c>
      <c r="U310" s="71">
        <f>+T310*P310</f>
        <v>22500</v>
      </c>
      <c r="V310" s="72">
        <f>+W310-U310</f>
        <v>4500</v>
      </c>
      <c r="W310" s="66">
        <f>+U310*1.2</f>
        <v>27000</v>
      </c>
      <c r="X310" s="67"/>
      <c r="Y310" s="62"/>
      <c r="Z310" s="67"/>
      <c r="AA310" s="67"/>
      <c r="AB310" s="67"/>
      <c r="AC310" s="67"/>
      <c r="AD310" s="73">
        <f t="shared" si="91"/>
        <v>1.5</v>
      </c>
      <c r="AE310" s="67">
        <f t="shared" si="120"/>
        <v>9</v>
      </c>
      <c r="AF310" s="67">
        <v>0</v>
      </c>
    </row>
    <row r="311" spans="1:32" x14ac:dyDescent="0.25">
      <c r="A311" s="49" t="s">
        <v>31</v>
      </c>
      <c r="B311" s="34" t="s">
        <v>70</v>
      </c>
      <c r="C311" s="35">
        <v>45993</v>
      </c>
      <c r="D311" s="36" t="s">
        <v>415</v>
      </c>
      <c r="E311" s="34" t="s">
        <v>72</v>
      </c>
      <c r="F311" s="37">
        <v>16000</v>
      </c>
      <c r="G311" s="35">
        <v>45987</v>
      </c>
      <c r="H311" s="38" t="s">
        <v>418</v>
      </c>
      <c r="I311" s="34" t="s">
        <v>72</v>
      </c>
      <c r="J311" s="39">
        <v>16500</v>
      </c>
      <c r="K311" s="36">
        <v>0.4</v>
      </c>
      <c r="L311" s="40">
        <f t="shared" si="122"/>
        <v>6600</v>
      </c>
      <c r="M311" s="48">
        <v>550</v>
      </c>
      <c r="N311" s="35">
        <v>45993</v>
      </c>
      <c r="O311" s="34" t="s">
        <v>72</v>
      </c>
      <c r="P311" s="42">
        <v>16500</v>
      </c>
      <c r="Q311" s="43"/>
      <c r="R311" s="44"/>
      <c r="S311" s="45"/>
      <c r="T311" s="41">
        <v>0.4</v>
      </c>
      <c r="U311" s="46">
        <f>T311*P311</f>
        <v>6600</v>
      </c>
      <c r="V311" s="47">
        <v>300</v>
      </c>
      <c r="W311" s="40">
        <f>V311+U311</f>
        <v>6900</v>
      </c>
      <c r="X311" s="41"/>
      <c r="Y311" s="37"/>
      <c r="Z311" s="41"/>
      <c r="AA311" s="41"/>
      <c r="AB311" s="41"/>
      <c r="AC311" s="41"/>
      <c r="AD311" s="48">
        <f t="shared" si="91"/>
        <v>1.8181818181818181E-2</v>
      </c>
      <c r="AE311" s="41">
        <f t="shared" si="120"/>
        <v>0.41818181818181821</v>
      </c>
      <c r="AF311" s="41">
        <v>0</v>
      </c>
    </row>
    <row r="312" spans="1:32" x14ac:dyDescent="0.25">
      <c r="A312" s="49" t="s">
        <v>31</v>
      </c>
      <c r="B312" s="34" t="s">
        <v>419</v>
      </c>
      <c r="C312" s="35">
        <v>45987</v>
      </c>
      <c r="D312" s="36" t="s">
        <v>420</v>
      </c>
      <c r="E312" s="34" t="s">
        <v>421</v>
      </c>
      <c r="F312" s="37">
        <v>1606</v>
      </c>
      <c r="G312" s="35">
        <v>45988</v>
      </c>
      <c r="H312" s="38" t="s">
        <v>422</v>
      </c>
      <c r="I312" s="34" t="s">
        <v>35</v>
      </c>
      <c r="J312" s="39">
        <v>1280</v>
      </c>
      <c r="K312" s="36">
        <v>3.13</v>
      </c>
      <c r="L312" s="40">
        <f t="shared" si="122"/>
        <v>4006.3999999999996</v>
      </c>
      <c r="M312" s="41" t="s">
        <v>423</v>
      </c>
      <c r="N312" s="35">
        <v>45987</v>
      </c>
      <c r="O312" s="34" t="s">
        <v>421</v>
      </c>
      <c r="P312" s="42">
        <v>1606</v>
      </c>
      <c r="Q312" s="43"/>
      <c r="R312" s="44"/>
      <c r="S312" s="45"/>
      <c r="T312" s="41">
        <v>3.13</v>
      </c>
      <c r="U312" s="46">
        <f>T312*P312</f>
        <v>5026.78</v>
      </c>
      <c r="V312" s="47"/>
      <c r="W312" s="40"/>
      <c r="X312" s="41"/>
      <c r="Y312" s="37"/>
      <c r="Z312" s="41"/>
      <c r="AA312" s="41"/>
      <c r="AB312" s="41"/>
      <c r="AC312" s="41"/>
      <c r="AD312" s="48">
        <f t="shared" si="91"/>
        <v>0</v>
      </c>
      <c r="AE312" s="41">
        <f t="shared" si="120"/>
        <v>3.13</v>
      </c>
      <c r="AF312" s="41">
        <v>0</v>
      </c>
    </row>
    <row r="313" spans="1:32" x14ac:dyDescent="0.25">
      <c r="A313" s="49" t="s">
        <v>31</v>
      </c>
      <c r="B313" s="34" t="s">
        <v>93</v>
      </c>
      <c r="C313" s="35">
        <v>46007</v>
      </c>
      <c r="D313" s="36" t="s">
        <v>424</v>
      </c>
      <c r="E313" s="34" t="s">
        <v>95</v>
      </c>
      <c r="F313" s="37">
        <v>16000</v>
      </c>
      <c r="G313" s="35">
        <v>46013</v>
      </c>
      <c r="H313" s="38" t="s">
        <v>425</v>
      </c>
      <c r="I313" s="34" t="s">
        <v>95</v>
      </c>
      <c r="J313" s="39">
        <v>16000</v>
      </c>
      <c r="K313" s="36">
        <v>1.4650000000000001</v>
      </c>
      <c r="L313" s="40">
        <f t="shared" si="122"/>
        <v>23440</v>
      </c>
      <c r="M313" s="41"/>
      <c r="N313" s="35"/>
      <c r="O313" s="34"/>
      <c r="P313" s="42"/>
      <c r="Q313" s="43"/>
      <c r="R313" s="44"/>
      <c r="S313" s="45"/>
      <c r="T313" s="41"/>
      <c r="U313" s="46"/>
      <c r="V313" s="47"/>
      <c r="W313" s="40"/>
      <c r="X313" s="41"/>
      <c r="Y313" s="37"/>
      <c r="Z313" s="41"/>
      <c r="AA313" s="41"/>
      <c r="AB313" s="41"/>
      <c r="AC313" s="41"/>
      <c r="AD313" s="48" t="e">
        <f t="shared" si="91"/>
        <v>#DIV/0!</v>
      </c>
      <c r="AE313" s="41" t="e">
        <f t="shared" si="120"/>
        <v>#DIV/0!</v>
      </c>
      <c r="AF313" s="41">
        <v>0</v>
      </c>
    </row>
    <row r="314" spans="1:32" x14ac:dyDescent="0.25">
      <c r="A314" s="49" t="s">
        <v>31</v>
      </c>
      <c r="B314" s="34" t="s">
        <v>283</v>
      </c>
      <c r="C314" s="35">
        <v>45996</v>
      </c>
      <c r="D314" s="36" t="s">
        <v>426</v>
      </c>
      <c r="E314" s="34" t="s">
        <v>240</v>
      </c>
      <c r="F314" s="37">
        <v>1000</v>
      </c>
      <c r="G314" s="35">
        <v>46010</v>
      </c>
      <c r="H314" s="38" t="s">
        <v>427</v>
      </c>
      <c r="I314" s="34" t="s">
        <v>240</v>
      </c>
      <c r="J314" s="39">
        <v>1000</v>
      </c>
      <c r="K314" s="36">
        <v>12</v>
      </c>
      <c r="L314" s="40">
        <f t="shared" si="122"/>
        <v>12000</v>
      </c>
      <c r="M314" s="41" t="s">
        <v>428</v>
      </c>
      <c r="N314" s="35">
        <v>46009</v>
      </c>
      <c r="O314" s="34" t="s">
        <v>240</v>
      </c>
      <c r="P314" s="42">
        <v>1000</v>
      </c>
      <c r="Q314" s="43"/>
      <c r="R314" s="44"/>
      <c r="S314" s="45"/>
      <c r="T314" s="41">
        <v>12</v>
      </c>
      <c r="U314" s="46">
        <f>+T314*P314</f>
        <v>12000</v>
      </c>
      <c r="V314" s="47">
        <v>2400</v>
      </c>
      <c r="W314" s="40">
        <f>+V314+U314</f>
        <v>14400</v>
      </c>
      <c r="X314" s="41"/>
      <c r="Y314" s="37"/>
      <c r="Z314" s="41"/>
      <c r="AA314" s="41"/>
      <c r="AB314" s="41"/>
      <c r="AC314" s="41"/>
      <c r="AD314" s="48">
        <f t="shared" si="91"/>
        <v>2.4</v>
      </c>
      <c r="AE314" s="41">
        <f t="shared" si="120"/>
        <v>14.4</v>
      </c>
      <c r="AF314" s="41">
        <v>0</v>
      </c>
    </row>
    <row r="315" spans="1:32" x14ac:dyDescent="0.25">
      <c r="A315" s="49" t="s">
        <v>31</v>
      </c>
      <c r="B315" s="34" t="s">
        <v>101</v>
      </c>
      <c r="C315" s="35">
        <v>46000</v>
      </c>
      <c r="D315" s="36" t="s">
        <v>429</v>
      </c>
      <c r="E315" s="34" t="s">
        <v>272</v>
      </c>
      <c r="F315" s="37">
        <v>3000</v>
      </c>
      <c r="G315" s="35">
        <v>46010</v>
      </c>
      <c r="H315" s="38" t="s">
        <v>430</v>
      </c>
      <c r="I315" s="34" t="s">
        <v>105</v>
      </c>
      <c r="J315" s="39">
        <v>3000</v>
      </c>
      <c r="K315" s="36">
        <v>13.5</v>
      </c>
      <c r="L315" s="40">
        <f t="shared" si="122"/>
        <v>40500</v>
      </c>
      <c r="M315" s="41" t="s">
        <v>431</v>
      </c>
      <c r="N315" s="35">
        <v>46009</v>
      </c>
      <c r="O315" s="34" t="s">
        <v>105</v>
      </c>
      <c r="P315" s="42">
        <v>3000</v>
      </c>
      <c r="Q315" s="43"/>
      <c r="R315" s="44"/>
      <c r="S315" s="45"/>
      <c r="T315" s="41">
        <v>13.5</v>
      </c>
      <c r="U315" s="46">
        <f>+T315*P315</f>
        <v>40500</v>
      </c>
      <c r="V315" s="47">
        <v>8100</v>
      </c>
      <c r="W315" s="40">
        <f>+V315+U315</f>
        <v>48600</v>
      </c>
      <c r="X315" s="41"/>
      <c r="Y315" s="37"/>
      <c r="Z315" s="41"/>
      <c r="AA315" s="41"/>
      <c r="AB315" s="41"/>
      <c r="AC315" s="41"/>
      <c r="AD315" s="48">
        <f>V315/P315</f>
        <v>2.7</v>
      </c>
      <c r="AE315" s="41">
        <f>T315+AD315</f>
        <v>16.2</v>
      </c>
      <c r="AF315" s="41">
        <v>0</v>
      </c>
    </row>
    <row r="316" spans="1:32" x14ac:dyDescent="0.25">
      <c r="A316" s="49" t="s">
        <v>31</v>
      </c>
      <c r="B316" s="76" t="s">
        <v>264</v>
      </c>
      <c r="C316" s="77">
        <v>46006</v>
      </c>
      <c r="D316" s="50" t="s">
        <v>432</v>
      </c>
      <c r="E316" s="76" t="s">
        <v>433</v>
      </c>
      <c r="F316" s="78">
        <v>200</v>
      </c>
      <c r="G316" s="77">
        <v>46010</v>
      </c>
      <c r="H316" s="79" t="s">
        <v>434</v>
      </c>
      <c r="I316" s="76" t="s">
        <v>433</v>
      </c>
      <c r="J316" s="80">
        <v>200</v>
      </c>
      <c r="K316" s="50">
        <v>39.4</v>
      </c>
      <c r="L316" s="81">
        <f t="shared" si="122"/>
        <v>7880</v>
      </c>
      <c r="M316" s="82">
        <v>250051</v>
      </c>
      <c r="N316" s="77">
        <v>46009</v>
      </c>
      <c r="O316" s="76" t="s">
        <v>433</v>
      </c>
      <c r="P316" s="83">
        <v>200</v>
      </c>
      <c r="Q316" s="84"/>
      <c r="R316" s="85"/>
      <c r="S316" s="86"/>
      <c r="T316" s="82">
        <v>39.4</v>
      </c>
      <c r="U316" s="87">
        <f>+T316*P316</f>
        <v>7880</v>
      </c>
      <c r="V316" s="88">
        <f>+W316-U316</f>
        <v>1576</v>
      </c>
      <c r="W316" s="81">
        <f>+U316*1.2</f>
        <v>9456</v>
      </c>
      <c r="X316" s="82"/>
      <c r="Y316" s="78"/>
      <c r="Z316" s="82"/>
      <c r="AA316" s="82"/>
      <c r="AB316" s="82"/>
      <c r="AC316" s="82"/>
      <c r="AD316" s="92">
        <f>V316/P316</f>
        <v>7.88</v>
      </c>
      <c r="AE316" s="82">
        <f>T316+AD316</f>
        <v>47.28</v>
      </c>
      <c r="AF316" s="82">
        <v>0</v>
      </c>
    </row>
    <row r="317" spans="1:32" x14ac:dyDescent="0.25">
      <c r="A317" s="49" t="s">
        <v>31</v>
      </c>
      <c r="B317" s="60" t="s">
        <v>264</v>
      </c>
      <c r="C317" s="61">
        <v>45995</v>
      </c>
      <c r="D317" s="65" t="s">
        <v>435</v>
      </c>
      <c r="E317" s="60" t="s">
        <v>436</v>
      </c>
      <c r="F317" s="62">
        <v>1000</v>
      </c>
      <c r="G317" s="61">
        <v>46010</v>
      </c>
      <c r="H317" s="63" t="s">
        <v>434</v>
      </c>
      <c r="I317" s="60" t="s">
        <v>436</v>
      </c>
      <c r="J317" s="64">
        <v>1000</v>
      </c>
      <c r="K317" s="65">
        <v>28.7</v>
      </c>
      <c r="L317" s="66">
        <f t="shared" si="122"/>
        <v>28700</v>
      </c>
      <c r="M317" s="67">
        <v>250051</v>
      </c>
      <c r="N317" s="61">
        <v>46009</v>
      </c>
      <c r="O317" s="60" t="s">
        <v>436</v>
      </c>
      <c r="P317" s="31">
        <v>1000</v>
      </c>
      <c r="Q317" s="68"/>
      <c r="R317" s="69"/>
      <c r="S317" s="70"/>
      <c r="T317" s="67">
        <v>28.7</v>
      </c>
      <c r="U317" s="71">
        <f>+T317*P317</f>
        <v>28700</v>
      </c>
      <c r="V317" s="72">
        <f>+W317-U317</f>
        <v>5740</v>
      </c>
      <c r="W317" s="66">
        <f>+U317*1.2</f>
        <v>34440</v>
      </c>
      <c r="X317" s="67"/>
      <c r="Y317" s="62"/>
      <c r="Z317" s="67"/>
      <c r="AA317" s="67"/>
      <c r="AB317" s="67"/>
      <c r="AC317" s="67"/>
      <c r="AD317" s="73">
        <f>V317/P317</f>
        <v>5.74</v>
      </c>
      <c r="AE317" s="67">
        <f>T317+AD317</f>
        <v>34.44</v>
      </c>
      <c r="AF317" s="67">
        <v>0</v>
      </c>
    </row>
    <row r="318" spans="1:32" x14ac:dyDescent="0.25">
      <c r="A318" s="33" t="s">
        <v>25</v>
      </c>
      <c r="B318" s="76" t="s">
        <v>406</v>
      </c>
      <c r="C318" s="77"/>
      <c r="D318" s="50" t="s">
        <v>437</v>
      </c>
      <c r="E318" s="76" t="s">
        <v>438</v>
      </c>
      <c r="F318" s="78">
        <v>24000</v>
      </c>
      <c r="G318" s="77">
        <v>46025</v>
      </c>
      <c r="H318" s="79" t="s">
        <v>439</v>
      </c>
      <c r="I318" s="76" t="s">
        <v>438</v>
      </c>
      <c r="J318" s="80">
        <v>24000</v>
      </c>
      <c r="K318" s="50">
        <f t="shared" ref="K318:K319" si="123">T318</f>
        <v>11.8195</v>
      </c>
      <c r="L318" s="81">
        <f t="shared" ref="L318:L319" si="124">K318*J318</f>
        <v>283668</v>
      </c>
      <c r="M318" s="82">
        <v>8</v>
      </c>
      <c r="N318" s="77">
        <v>46009</v>
      </c>
      <c r="O318" s="76" t="s">
        <v>438</v>
      </c>
      <c r="P318" s="83">
        <v>24000</v>
      </c>
      <c r="Q318" s="84">
        <v>1.1000000000000001</v>
      </c>
      <c r="R318" s="85">
        <f t="shared" ref="R318:R319" si="125">P318*Q318</f>
        <v>26400.000000000004</v>
      </c>
      <c r="S318" s="86">
        <v>10.744999999999999</v>
      </c>
      <c r="T318" s="82">
        <f t="shared" ref="T318:T319" si="126">Q318*S318</f>
        <v>11.8195</v>
      </c>
      <c r="U318" s="87">
        <f t="shared" ref="U318:U319" si="127">P318*T318</f>
        <v>283668</v>
      </c>
      <c r="V318" s="88">
        <f>((0.14829615384)*P318)*S318</f>
        <v>38242.6121522592</v>
      </c>
      <c r="W318" s="81">
        <f t="shared" ref="W318:W319" si="128">U318+V318</f>
        <v>321910.61215225921</v>
      </c>
      <c r="X318" s="82"/>
      <c r="Y318" s="78"/>
      <c r="Z318" s="82"/>
      <c r="AA318" s="82"/>
      <c r="AB318" s="82"/>
      <c r="AC318" s="82"/>
      <c r="AD318" s="89">
        <f t="shared" ref="AD318:AD319" si="129">V318/P318</f>
        <v>1.5934421730107999</v>
      </c>
      <c r="AE318" s="82">
        <f t="shared" ref="AE318:AE319" si="130">T318+AD318</f>
        <v>13.4129421730108</v>
      </c>
      <c r="AF318" s="82">
        <v>0</v>
      </c>
    </row>
    <row r="319" spans="1:32" x14ac:dyDescent="0.25">
      <c r="A319" s="33" t="s">
        <v>25</v>
      </c>
      <c r="B319" s="60" t="s">
        <v>406</v>
      </c>
      <c r="C319" s="61"/>
      <c r="D319" s="65" t="s">
        <v>437</v>
      </c>
      <c r="E319" s="60" t="s">
        <v>440</v>
      </c>
      <c r="F319" s="62">
        <v>2000</v>
      </c>
      <c r="G319" s="61">
        <v>46025</v>
      </c>
      <c r="H319" s="63" t="s">
        <v>439</v>
      </c>
      <c r="I319" s="60" t="s">
        <v>440</v>
      </c>
      <c r="J319" s="64">
        <v>2000</v>
      </c>
      <c r="K319" s="65">
        <f t="shared" si="123"/>
        <v>56.411249999999995</v>
      </c>
      <c r="L319" s="66">
        <f t="shared" si="124"/>
        <v>112822.49999999999</v>
      </c>
      <c r="M319" s="67">
        <v>8</v>
      </c>
      <c r="N319" s="61">
        <v>46009</v>
      </c>
      <c r="O319" s="60" t="s">
        <v>440</v>
      </c>
      <c r="P319" s="31">
        <v>2000</v>
      </c>
      <c r="Q319" s="68">
        <v>5.25</v>
      </c>
      <c r="R319" s="69">
        <f t="shared" si="125"/>
        <v>10500</v>
      </c>
      <c r="S319" s="70">
        <v>10.744999999999999</v>
      </c>
      <c r="T319" s="67">
        <f t="shared" si="126"/>
        <v>56.411249999999995</v>
      </c>
      <c r="U319" s="71">
        <f t="shared" si="127"/>
        <v>112822.49999999999</v>
      </c>
      <c r="V319" s="72">
        <f>((0.14829615384)*P319)*S319</f>
        <v>3186.8843460215994</v>
      </c>
      <c r="W319" s="66">
        <f t="shared" si="128"/>
        <v>116009.38434602159</v>
      </c>
      <c r="X319" s="67"/>
      <c r="Y319" s="62"/>
      <c r="Z319" s="67"/>
      <c r="AA319" s="67"/>
      <c r="AB319" s="67"/>
      <c r="AC319" s="67"/>
      <c r="AD319" s="73">
        <f t="shared" si="129"/>
        <v>1.5934421730107997</v>
      </c>
      <c r="AE319" s="67">
        <f t="shared" si="130"/>
        <v>58.004692173010795</v>
      </c>
      <c r="AF319" s="67">
        <v>0</v>
      </c>
    </row>
    <row r="320" spans="1:32" x14ac:dyDescent="0.25">
      <c r="D320" s="6"/>
      <c r="Q320" s="54"/>
      <c r="R320" s="55"/>
      <c r="S320" s="56"/>
      <c r="U320" s="57"/>
      <c r="V320" s="58"/>
      <c r="AC320" s="1"/>
      <c r="AD320" s="59"/>
    </row>
    <row r="321" spans="4:30" x14ac:dyDescent="0.25">
      <c r="D321" s="6"/>
      <c r="Q321" s="54"/>
      <c r="R321" s="55"/>
      <c r="S321" s="56"/>
      <c r="U321" s="57"/>
      <c r="V321" s="58"/>
      <c r="AC321" s="1"/>
      <c r="AD321" s="59"/>
    </row>
    <row r="322" spans="4:30" x14ac:dyDescent="0.25">
      <c r="D322" s="6"/>
      <c r="Q322" s="54"/>
      <c r="R322" s="55"/>
      <c r="S322" s="56"/>
      <c r="U322" s="57"/>
      <c r="V322" s="58"/>
      <c r="AC322" s="1"/>
      <c r="AD322" s="59"/>
    </row>
    <row r="323" spans="4:30" x14ac:dyDescent="0.25">
      <c r="D323" s="6"/>
      <c r="Q323" s="54"/>
      <c r="R323" s="55"/>
      <c r="S323" s="56"/>
      <c r="U323" s="57"/>
      <c r="V323" s="58"/>
      <c r="AC323" s="1"/>
      <c r="AD323" s="59"/>
    </row>
    <row r="324" spans="4:30" x14ac:dyDescent="0.25">
      <c r="D324" s="6"/>
      <c r="Q324" s="54"/>
      <c r="R324" s="55"/>
      <c r="S324" s="56"/>
      <c r="U324" s="57"/>
      <c r="V324" s="58"/>
      <c r="AC324" s="1"/>
      <c r="AD324" s="59"/>
    </row>
    <row r="325" spans="4:30" x14ac:dyDescent="0.25">
      <c r="D325" s="6"/>
      <c r="Q325" s="54"/>
      <c r="R325" s="55"/>
      <c r="S325" s="56"/>
      <c r="U325" s="57"/>
      <c r="V325" s="58"/>
      <c r="AC325" s="1"/>
      <c r="AD325" s="59"/>
    </row>
    <row r="326" spans="4:30" x14ac:dyDescent="0.25">
      <c r="D326" s="6"/>
      <c r="Q326" s="54"/>
      <c r="R326" s="55"/>
      <c r="S326" s="56"/>
      <c r="U326" s="57"/>
      <c r="V326" s="58"/>
      <c r="AC326" s="1"/>
      <c r="AD326" s="59"/>
    </row>
    <row r="327" spans="4:30" x14ac:dyDescent="0.25">
      <c r="D327" s="6"/>
      <c r="Q327" s="54"/>
      <c r="R327" s="55"/>
      <c r="S327" s="56"/>
      <c r="U327" s="57"/>
      <c r="V327" s="58"/>
      <c r="AC327" s="1"/>
      <c r="AD327" s="59"/>
    </row>
    <row r="328" spans="4:30" x14ac:dyDescent="0.25">
      <c r="D328" s="6"/>
      <c r="Q328" s="54"/>
      <c r="R328" s="55"/>
      <c r="S328" s="56"/>
      <c r="U328" s="57"/>
      <c r="V328" s="58"/>
      <c r="AC328" s="1"/>
      <c r="AD328" s="59"/>
    </row>
    <row r="329" spans="4:30" x14ac:dyDescent="0.25">
      <c r="D329" s="6"/>
      <c r="Q329" s="54"/>
      <c r="R329" s="55"/>
      <c r="S329" s="56"/>
      <c r="U329" s="57"/>
      <c r="V329" s="58"/>
      <c r="AC329" s="1"/>
      <c r="AD329" s="59"/>
    </row>
    <row r="330" spans="4:30" x14ac:dyDescent="0.25">
      <c r="D330" s="6"/>
      <c r="Q330" s="54"/>
      <c r="R330" s="55"/>
      <c r="S330" s="56"/>
      <c r="U330" s="57"/>
      <c r="V330" s="58"/>
      <c r="AC330" s="1"/>
      <c r="AD330" s="59"/>
    </row>
    <row r="331" spans="4:30" x14ac:dyDescent="0.25">
      <c r="D331" s="6"/>
      <c r="Q331" s="54"/>
      <c r="R331" s="55"/>
      <c r="S331" s="56"/>
      <c r="U331" s="57"/>
      <c r="V331" s="58"/>
      <c r="AC331" s="1"/>
      <c r="AD331" s="59"/>
    </row>
    <row r="332" spans="4:30" x14ac:dyDescent="0.25">
      <c r="D332" s="6"/>
      <c r="Q332" s="54"/>
      <c r="R332" s="55"/>
      <c r="S332" s="56"/>
      <c r="U332" s="57"/>
      <c r="V332" s="58"/>
      <c r="AC332" s="1"/>
      <c r="AD332" s="59"/>
    </row>
    <row r="333" spans="4:30" x14ac:dyDescent="0.25">
      <c r="D333" s="6"/>
      <c r="Q333" s="54"/>
      <c r="R333" s="55"/>
      <c r="S333" s="56"/>
      <c r="U333" s="57"/>
      <c r="V333" s="58"/>
      <c r="AC333" s="1"/>
      <c r="AD333" s="59"/>
    </row>
    <row r="334" spans="4:30" x14ac:dyDescent="0.25">
      <c r="D334" s="6"/>
      <c r="Q334" s="54"/>
      <c r="R334" s="55"/>
      <c r="S334" s="56"/>
      <c r="U334" s="57"/>
      <c r="V334" s="58"/>
      <c r="AC334" s="1"/>
      <c r="AD334" s="59"/>
    </row>
    <row r="335" spans="4:30" x14ac:dyDescent="0.25">
      <c r="D335" s="6"/>
      <c r="Q335" s="54"/>
      <c r="R335" s="55"/>
      <c r="S335" s="56"/>
      <c r="U335" s="57"/>
      <c r="V335" s="58"/>
      <c r="AC335" s="1"/>
      <c r="AD335" s="59"/>
    </row>
    <row r="336" spans="4:30" x14ac:dyDescent="0.25">
      <c r="D336" s="6"/>
      <c r="Q336" s="54"/>
      <c r="R336" s="55"/>
      <c r="S336" s="56"/>
      <c r="U336" s="57"/>
      <c r="V336" s="58"/>
      <c r="AC336" s="1"/>
      <c r="AD336" s="59"/>
    </row>
    <row r="337" spans="4:30" x14ac:dyDescent="0.25">
      <c r="D337" s="6"/>
      <c r="Q337" s="54"/>
      <c r="R337" s="55"/>
      <c r="S337" s="56"/>
      <c r="U337" s="57"/>
      <c r="V337" s="58"/>
      <c r="AC337" s="1"/>
      <c r="AD337" s="59"/>
    </row>
    <row r="338" spans="4:30" x14ac:dyDescent="0.25">
      <c r="D338" s="6"/>
      <c r="Q338" s="54"/>
      <c r="R338" s="55"/>
      <c r="S338" s="56"/>
      <c r="U338" s="57"/>
      <c r="V338" s="58"/>
      <c r="AC338" s="1"/>
      <c r="AD338" s="59"/>
    </row>
    <row r="339" spans="4:30" x14ac:dyDescent="0.25">
      <c r="D339" s="6"/>
      <c r="Q339" s="54"/>
      <c r="R339" s="55"/>
      <c r="S339" s="56"/>
      <c r="U339" s="57"/>
      <c r="V339" s="58"/>
      <c r="AC339" s="1"/>
      <c r="AD339" s="59"/>
    </row>
    <row r="340" spans="4:30" x14ac:dyDescent="0.25">
      <c r="D340" s="6"/>
      <c r="Q340" s="54"/>
      <c r="R340" s="55"/>
      <c r="S340" s="56"/>
      <c r="U340" s="57"/>
      <c r="V340" s="58"/>
      <c r="AC340" s="1"/>
      <c r="AD340" s="59"/>
    </row>
    <row r="341" spans="4:30" x14ac:dyDescent="0.25">
      <c r="D341" s="6"/>
      <c r="Q341" s="54"/>
      <c r="R341" s="55"/>
      <c r="S341" s="56"/>
      <c r="U341" s="57"/>
      <c r="V341" s="58"/>
      <c r="AC341" s="1"/>
      <c r="AD341" s="59"/>
    </row>
    <row r="342" spans="4:30" x14ac:dyDescent="0.25">
      <c r="D342" s="6"/>
      <c r="Q342" s="54"/>
      <c r="R342" s="55"/>
      <c r="S342" s="56"/>
      <c r="U342" s="57"/>
      <c r="V342" s="58"/>
      <c r="AC342" s="1"/>
      <c r="AD342" s="59"/>
    </row>
    <row r="343" spans="4:30" x14ac:dyDescent="0.25">
      <c r="D343" s="6"/>
      <c r="Q343" s="54"/>
      <c r="R343" s="55"/>
      <c r="S343" s="56"/>
      <c r="U343" s="57"/>
      <c r="V343" s="58"/>
      <c r="AC343" s="1"/>
      <c r="AD343" s="59"/>
    </row>
    <row r="344" spans="4:30" x14ac:dyDescent="0.25">
      <c r="D344" s="6"/>
      <c r="Q344" s="54"/>
      <c r="R344" s="55"/>
      <c r="S344" s="56"/>
      <c r="U344" s="57"/>
      <c r="V344" s="58"/>
      <c r="AC344" s="1"/>
      <c r="AD344" s="59"/>
    </row>
    <row r="345" spans="4:30" x14ac:dyDescent="0.25">
      <c r="D345" s="6"/>
      <c r="Q345" s="54"/>
      <c r="R345" s="55"/>
      <c r="S345" s="56"/>
      <c r="U345" s="57"/>
      <c r="V345" s="58"/>
      <c r="AC345" s="1"/>
      <c r="AD345" s="59"/>
    </row>
    <row r="346" spans="4:30" x14ac:dyDescent="0.25">
      <c r="D346" s="6"/>
      <c r="Q346" s="54"/>
      <c r="R346" s="55"/>
      <c r="S346" s="56"/>
      <c r="U346" s="57"/>
      <c r="V346" s="58"/>
      <c r="AC346" s="1"/>
      <c r="AD346" s="59"/>
    </row>
    <row r="347" spans="4:30" x14ac:dyDescent="0.25">
      <c r="D347" s="6"/>
      <c r="Q347" s="54"/>
      <c r="R347" s="55"/>
      <c r="S347" s="56"/>
      <c r="U347" s="57"/>
      <c r="V347" s="58"/>
      <c r="AC347" s="1"/>
      <c r="AD347" s="59"/>
    </row>
    <row r="348" spans="4:30" x14ac:dyDescent="0.25">
      <c r="D348" s="6"/>
      <c r="Q348" s="54"/>
      <c r="R348" s="55"/>
      <c r="S348" s="56"/>
      <c r="U348" s="57"/>
      <c r="V348" s="58"/>
      <c r="AC348" s="1"/>
      <c r="AD348" s="59"/>
    </row>
    <row r="349" spans="4:30" x14ac:dyDescent="0.25">
      <c r="D349" s="6"/>
      <c r="Q349" s="54"/>
      <c r="R349" s="55"/>
      <c r="S349" s="56"/>
      <c r="U349" s="57"/>
      <c r="V349" s="58"/>
      <c r="AC349" s="1"/>
      <c r="AD349" s="59"/>
    </row>
    <row r="350" spans="4:30" x14ac:dyDescent="0.25">
      <c r="D350" s="6"/>
      <c r="Q350" s="54"/>
      <c r="R350" s="55"/>
      <c r="S350" s="56"/>
      <c r="U350" s="57"/>
      <c r="V350" s="58"/>
      <c r="AC350" s="1"/>
      <c r="AD350" s="59"/>
    </row>
    <row r="351" spans="4:30" x14ac:dyDescent="0.25">
      <c r="D351" s="6"/>
      <c r="Q351" s="54"/>
      <c r="R351" s="55"/>
      <c r="S351" s="56"/>
      <c r="U351" s="57"/>
      <c r="V351" s="58"/>
      <c r="AC351" s="1"/>
      <c r="AD351" s="59"/>
    </row>
    <row r="352" spans="4:30" x14ac:dyDescent="0.25">
      <c r="D352" s="6"/>
      <c r="Q352" s="54"/>
      <c r="R352" s="55"/>
      <c r="S352" s="56"/>
      <c r="U352" s="57"/>
      <c r="V352" s="58"/>
      <c r="AC352" s="1"/>
      <c r="AD352" s="59"/>
    </row>
    <row r="353" spans="4:30" x14ac:dyDescent="0.25">
      <c r="D353" s="6"/>
      <c r="Q353" s="54"/>
      <c r="R353" s="55"/>
      <c r="S353" s="56"/>
      <c r="U353" s="57"/>
      <c r="V353" s="58"/>
      <c r="AC353" s="1"/>
      <c r="AD353" s="59"/>
    </row>
    <row r="354" spans="4:30" x14ac:dyDescent="0.25">
      <c r="D354" s="6"/>
      <c r="Q354" s="54"/>
      <c r="R354" s="55"/>
      <c r="S354" s="56"/>
      <c r="U354" s="57"/>
      <c r="V354" s="58"/>
      <c r="AC354" s="1"/>
      <c r="AD354" s="59"/>
    </row>
    <row r="355" spans="4:30" x14ac:dyDescent="0.25">
      <c r="D355" s="6"/>
      <c r="Q355" s="54"/>
      <c r="R355" s="55"/>
      <c r="S355" s="56"/>
      <c r="U355" s="57"/>
      <c r="V355" s="58"/>
      <c r="AC355" s="1"/>
      <c r="AD355" s="59"/>
    </row>
    <row r="356" spans="4:30" x14ac:dyDescent="0.25">
      <c r="D356" s="6"/>
      <c r="Q356" s="54"/>
      <c r="R356" s="55"/>
      <c r="S356" s="56"/>
      <c r="U356" s="57"/>
      <c r="V356" s="58"/>
      <c r="AC356" s="1"/>
      <c r="AD356" s="59"/>
    </row>
    <row r="357" spans="4:30" x14ac:dyDescent="0.25">
      <c r="D357" s="6"/>
      <c r="Q357" s="54"/>
      <c r="R357" s="55"/>
      <c r="S357" s="56"/>
      <c r="U357" s="57"/>
      <c r="V357" s="58"/>
      <c r="AC357" s="1"/>
      <c r="AD357" s="59"/>
    </row>
    <row r="358" spans="4:30" x14ac:dyDescent="0.25">
      <c r="D358" s="6"/>
      <c r="Q358" s="54"/>
      <c r="R358" s="55"/>
      <c r="S358" s="56"/>
      <c r="U358" s="57"/>
      <c r="V358" s="58"/>
      <c r="AC358" s="1"/>
      <c r="AD358" s="59"/>
    </row>
    <row r="359" spans="4:30" x14ac:dyDescent="0.25">
      <c r="D359" s="6"/>
      <c r="Q359" s="54"/>
      <c r="R359" s="55"/>
      <c r="S359" s="56"/>
      <c r="U359" s="57"/>
      <c r="V359" s="58"/>
      <c r="AC359" s="1"/>
      <c r="AD359" s="59"/>
    </row>
    <row r="360" spans="4:30" x14ac:dyDescent="0.25">
      <c r="D360" s="6"/>
      <c r="Q360" s="54"/>
      <c r="R360" s="55"/>
      <c r="S360" s="56"/>
      <c r="U360" s="57"/>
      <c r="V360" s="58"/>
      <c r="AC360" s="1"/>
      <c r="AD360" s="59"/>
    </row>
    <row r="361" spans="4:30" x14ac:dyDescent="0.25">
      <c r="D361" s="6"/>
      <c r="Q361" s="54"/>
      <c r="R361" s="55"/>
      <c r="S361" s="56"/>
      <c r="U361" s="57"/>
      <c r="V361" s="58"/>
      <c r="AC361" s="1"/>
      <c r="AD361" s="59"/>
    </row>
    <row r="362" spans="4:30" x14ac:dyDescent="0.25">
      <c r="D362" s="6"/>
      <c r="Q362" s="54"/>
      <c r="R362" s="55"/>
      <c r="S362" s="56"/>
      <c r="U362" s="57"/>
      <c r="V362" s="58"/>
      <c r="AC362" s="1"/>
      <c r="AD362" s="59"/>
    </row>
    <row r="363" spans="4:30" x14ac:dyDescent="0.25">
      <c r="D363" s="6"/>
      <c r="Q363" s="54"/>
      <c r="R363" s="55"/>
      <c r="S363" s="56"/>
      <c r="U363" s="57"/>
      <c r="V363" s="58"/>
      <c r="AC363" s="1"/>
      <c r="AD363" s="59"/>
    </row>
    <row r="364" spans="4:30" x14ac:dyDescent="0.25">
      <c r="D364" s="6"/>
      <c r="Q364" s="54"/>
      <c r="R364" s="55"/>
      <c r="S364" s="56"/>
      <c r="U364" s="57"/>
      <c r="V364" s="58"/>
      <c r="AC364" s="1"/>
      <c r="AD364" s="59"/>
    </row>
    <row r="365" spans="4:30" x14ac:dyDescent="0.25">
      <c r="D365" s="6"/>
      <c r="Q365" s="54"/>
      <c r="R365" s="55"/>
      <c r="S365" s="56"/>
      <c r="U365" s="57"/>
      <c r="V365" s="58"/>
      <c r="AC365" s="1"/>
      <c r="AD365" s="59"/>
    </row>
    <row r="366" spans="4:30" x14ac:dyDescent="0.25">
      <c r="D366" s="6"/>
      <c r="Q366" s="54"/>
      <c r="R366" s="55"/>
      <c r="S366" s="56"/>
      <c r="U366" s="57"/>
      <c r="V366" s="58"/>
      <c r="AC366" s="1"/>
      <c r="AD366" s="59"/>
    </row>
    <row r="367" spans="4:30" x14ac:dyDescent="0.25">
      <c r="D367" s="6"/>
      <c r="Q367" s="54"/>
      <c r="R367" s="55"/>
      <c r="S367" s="56"/>
      <c r="U367" s="57"/>
      <c r="V367" s="58"/>
      <c r="AC367" s="1"/>
      <c r="AD367" s="59"/>
    </row>
    <row r="368" spans="4:30" x14ac:dyDescent="0.25">
      <c r="D368" s="6"/>
      <c r="Q368" s="54"/>
      <c r="R368" s="55"/>
      <c r="S368" s="56"/>
      <c r="U368" s="57"/>
      <c r="V368" s="58"/>
      <c r="AC368" s="1"/>
      <c r="AD368" s="59"/>
    </row>
    <row r="369" spans="4:30" x14ac:dyDescent="0.25">
      <c r="D369" s="6"/>
      <c r="Q369" s="54"/>
      <c r="R369" s="55"/>
      <c r="S369" s="56"/>
      <c r="U369" s="57"/>
      <c r="V369" s="58"/>
      <c r="AC369" s="1"/>
      <c r="AD369" s="59"/>
    </row>
    <row r="370" spans="4:30" x14ac:dyDescent="0.25">
      <c r="D370" s="6"/>
      <c r="Q370" s="54"/>
      <c r="R370" s="55"/>
      <c r="S370" s="56"/>
      <c r="U370" s="57"/>
      <c r="V370" s="58"/>
      <c r="AC370" s="1"/>
      <c r="AD370" s="59"/>
    </row>
    <row r="371" spans="4:30" x14ac:dyDescent="0.25">
      <c r="D371" s="6"/>
      <c r="Q371" s="54"/>
      <c r="R371" s="55"/>
      <c r="S371" s="56"/>
      <c r="U371" s="57"/>
      <c r="V371" s="58"/>
      <c r="AC371" s="1"/>
      <c r="AD371" s="59"/>
    </row>
    <row r="372" spans="4:30" x14ac:dyDescent="0.25">
      <c r="D372" s="6"/>
      <c r="Q372" s="54"/>
      <c r="R372" s="55"/>
      <c r="S372" s="56"/>
      <c r="U372" s="57"/>
      <c r="V372" s="58"/>
      <c r="AC372" s="1"/>
      <c r="AD372" s="59"/>
    </row>
    <row r="373" spans="4:30" x14ac:dyDescent="0.25">
      <c r="D373" s="6"/>
      <c r="Q373" s="54"/>
      <c r="R373" s="55"/>
      <c r="S373" s="56"/>
      <c r="U373" s="57"/>
      <c r="V373" s="58"/>
      <c r="AC373" s="1"/>
      <c r="AD373" s="59"/>
    </row>
    <row r="374" spans="4:30" x14ac:dyDescent="0.25">
      <c r="D374" s="6"/>
      <c r="Q374" s="54"/>
      <c r="R374" s="55"/>
      <c r="S374" s="56"/>
      <c r="U374" s="57"/>
      <c r="V374" s="58"/>
      <c r="AC374" s="1"/>
      <c r="AD374" s="59"/>
    </row>
    <row r="375" spans="4:30" x14ac:dyDescent="0.25">
      <c r="D375" s="6"/>
      <c r="Q375" s="54"/>
      <c r="R375" s="55"/>
      <c r="S375" s="56"/>
      <c r="U375" s="57"/>
      <c r="V375" s="58"/>
      <c r="AC375" s="1"/>
      <c r="AD375" s="59"/>
    </row>
    <row r="376" spans="4:30" x14ac:dyDescent="0.25">
      <c r="D376" s="6"/>
      <c r="Q376" s="54"/>
      <c r="R376" s="55"/>
      <c r="S376" s="56"/>
      <c r="U376" s="57"/>
      <c r="V376" s="58"/>
      <c r="AC376" s="1"/>
      <c r="AD376" s="59"/>
    </row>
    <row r="377" spans="4:30" x14ac:dyDescent="0.25">
      <c r="D377" s="6"/>
      <c r="Q377" s="54"/>
      <c r="R377" s="55"/>
      <c r="S377" s="56"/>
      <c r="U377" s="57"/>
      <c r="V377" s="58"/>
      <c r="AC377" s="1"/>
      <c r="AD377" s="59"/>
    </row>
    <row r="378" spans="4:30" x14ac:dyDescent="0.25">
      <c r="D378" s="6"/>
      <c r="Q378" s="54"/>
      <c r="R378" s="55"/>
      <c r="S378" s="56"/>
      <c r="U378" s="57"/>
      <c r="V378" s="58"/>
      <c r="AC378" s="1"/>
      <c r="AD378" s="59"/>
    </row>
    <row r="379" spans="4:30" x14ac:dyDescent="0.25">
      <c r="D379" s="6"/>
      <c r="Q379" s="54"/>
      <c r="R379" s="55"/>
      <c r="S379" s="56"/>
      <c r="U379" s="57"/>
      <c r="V379" s="58"/>
      <c r="AC379" s="1"/>
      <c r="AD379" s="59"/>
    </row>
    <row r="380" spans="4:30" x14ac:dyDescent="0.25">
      <c r="D380" s="6"/>
      <c r="Q380" s="54"/>
      <c r="R380" s="55"/>
      <c r="S380" s="56"/>
      <c r="U380" s="57"/>
      <c r="V380" s="58"/>
      <c r="AC380" s="1"/>
      <c r="AD380" s="59"/>
    </row>
    <row r="381" spans="4:30" x14ac:dyDescent="0.25">
      <c r="D381" s="6"/>
      <c r="Q381" s="54"/>
      <c r="R381" s="55"/>
      <c r="S381" s="56"/>
      <c r="U381" s="57"/>
      <c r="V381" s="58"/>
      <c r="AC381" s="1"/>
      <c r="AD381" s="59"/>
    </row>
    <row r="382" spans="4:30" x14ac:dyDescent="0.25">
      <c r="D382" s="6"/>
      <c r="Q382" s="54"/>
      <c r="R382" s="55"/>
      <c r="S382" s="56"/>
      <c r="U382" s="57"/>
      <c r="V382" s="58"/>
      <c r="AC382" s="1"/>
      <c r="AD382" s="59"/>
    </row>
    <row r="383" spans="4:30" x14ac:dyDescent="0.25">
      <c r="D383" s="6"/>
      <c r="Q383" s="54"/>
      <c r="R383" s="55"/>
      <c r="S383" s="56"/>
      <c r="U383" s="57"/>
      <c r="V383" s="58"/>
      <c r="AC383" s="1"/>
      <c r="AD383" s="59"/>
    </row>
    <row r="384" spans="4:30" x14ac:dyDescent="0.25">
      <c r="D384" s="6"/>
      <c r="Q384" s="54"/>
      <c r="R384" s="55"/>
      <c r="S384" s="56"/>
      <c r="U384" s="57"/>
      <c r="V384" s="58"/>
      <c r="AC384" s="1"/>
      <c r="AD384" s="59"/>
    </row>
    <row r="385" spans="4:30" x14ac:dyDescent="0.25">
      <c r="D385" s="6"/>
      <c r="Q385" s="54"/>
      <c r="R385" s="55"/>
      <c r="S385" s="56"/>
      <c r="U385" s="57"/>
      <c r="V385" s="58"/>
      <c r="AC385" s="1"/>
      <c r="AD385" s="59"/>
    </row>
    <row r="386" spans="4:30" x14ac:dyDescent="0.25">
      <c r="D386" s="6"/>
      <c r="Q386" s="54"/>
      <c r="R386" s="55"/>
      <c r="S386" s="56"/>
      <c r="U386" s="57"/>
      <c r="V386" s="58"/>
      <c r="AC386" s="1"/>
      <c r="AD386" s="59"/>
    </row>
    <row r="387" spans="4:30" x14ac:dyDescent="0.25">
      <c r="D387" s="6"/>
      <c r="Q387" s="54"/>
      <c r="R387" s="55"/>
      <c r="S387" s="56"/>
      <c r="U387" s="57"/>
      <c r="V387" s="58"/>
      <c r="AC387" s="1"/>
      <c r="AD387" s="59"/>
    </row>
    <row r="388" spans="4:30" x14ac:dyDescent="0.25">
      <c r="D388" s="6"/>
      <c r="Q388" s="54"/>
      <c r="R388" s="55"/>
      <c r="S388" s="56"/>
      <c r="U388" s="57"/>
      <c r="V388" s="58"/>
      <c r="AC388" s="1"/>
      <c r="AD388" s="59"/>
    </row>
    <row r="389" spans="4:30" x14ac:dyDescent="0.25">
      <c r="D389" s="6"/>
      <c r="Q389" s="54"/>
      <c r="R389" s="55"/>
      <c r="S389" s="56"/>
      <c r="U389" s="57"/>
      <c r="V389" s="58"/>
      <c r="AC389" s="1"/>
      <c r="AD389" s="59"/>
    </row>
    <row r="390" spans="4:30" x14ac:dyDescent="0.25">
      <c r="D390" s="6"/>
      <c r="Q390" s="54"/>
      <c r="R390" s="55"/>
      <c r="S390" s="56"/>
      <c r="U390" s="57"/>
      <c r="V390" s="58"/>
      <c r="AC390" s="1"/>
      <c r="AD390" s="59"/>
    </row>
    <row r="391" spans="4:30" x14ac:dyDescent="0.25">
      <c r="D391" s="6"/>
      <c r="Q391" s="54"/>
      <c r="R391" s="55"/>
      <c r="S391" s="56"/>
      <c r="U391" s="57"/>
      <c r="V391" s="58"/>
      <c r="AC391" s="1"/>
      <c r="AD391" s="59"/>
    </row>
    <row r="392" spans="4:30" x14ac:dyDescent="0.25">
      <c r="D392" s="6"/>
      <c r="Q392" s="54"/>
      <c r="R392" s="55"/>
      <c r="S392" s="56"/>
      <c r="U392" s="57"/>
      <c r="V392" s="58"/>
      <c r="AC392" s="1"/>
      <c r="AD392" s="59"/>
    </row>
    <row r="393" spans="4:30" x14ac:dyDescent="0.25">
      <c r="D393" s="6"/>
      <c r="Q393" s="54"/>
      <c r="R393" s="55"/>
      <c r="S393" s="56"/>
      <c r="U393" s="57"/>
      <c r="V393" s="58"/>
      <c r="AC393" s="1"/>
      <c r="AD393" s="59"/>
    </row>
    <row r="394" spans="4:30" x14ac:dyDescent="0.25">
      <c r="D394" s="6"/>
      <c r="Q394" s="54"/>
      <c r="R394" s="55"/>
      <c r="S394" s="56"/>
      <c r="U394" s="57"/>
      <c r="V394" s="58"/>
      <c r="AC394" s="1"/>
      <c r="AD394" s="59"/>
    </row>
    <row r="395" spans="4:30" x14ac:dyDescent="0.25">
      <c r="D395" s="6"/>
      <c r="Q395" s="54"/>
      <c r="R395" s="55"/>
      <c r="S395" s="56"/>
      <c r="U395" s="57"/>
      <c r="V395" s="58"/>
      <c r="AC395" s="1"/>
      <c r="AD395" s="59"/>
    </row>
    <row r="396" spans="4:30" x14ac:dyDescent="0.25">
      <c r="D396" s="6"/>
      <c r="Q396" s="54"/>
      <c r="R396" s="55"/>
      <c r="S396" s="56"/>
      <c r="U396" s="57"/>
      <c r="V396" s="58"/>
      <c r="AC396" s="1"/>
      <c r="AD396" s="59"/>
    </row>
    <row r="397" spans="4:30" x14ac:dyDescent="0.25">
      <c r="D397" s="6"/>
      <c r="Q397" s="54"/>
      <c r="R397" s="55"/>
      <c r="S397" s="56"/>
      <c r="U397" s="57"/>
      <c r="V397" s="58"/>
      <c r="AC397" s="1"/>
      <c r="AD397" s="59"/>
    </row>
    <row r="398" spans="4:30" x14ac:dyDescent="0.25">
      <c r="D398" s="6"/>
      <c r="Q398" s="54"/>
      <c r="R398" s="55"/>
      <c r="S398" s="56"/>
      <c r="U398" s="57"/>
      <c r="V398" s="58"/>
      <c r="AC398" s="1"/>
      <c r="AD398" s="59"/>
    </row>
    <row r="399" spans="4:30" x14ac:dyDescent="0.25">
      <c r="D399" s="6"/>
      <c r="Q399" s="54"/>
      <c r="R399" s="55"/>
      <c r="S399" s="56"/>
      <c r="U399" s="57"/>
      <c r="V399" s="58"/>
      <c r="AC399" s="1"/>
      <c r="AD399" s="59"/>
    </row>
    <row r="400" spans="4:30" x14ac:dyDescent="0.25">
      <c r="D400" s="6"/>
      <c r="Q400" s="54"/>
      <c r="R400" s="55"/>
      <c r="S400" s="56"/>
      <c r="U400" s="57"/>
      <c r="V400" s="58"/>
      <c r="AC400" s="1"/>
      <c r="AD400" s="59"/>
    </row>
    <row r="401" spans="2:31" ht="15" thickBot="1" x14ac:dyDescent="0.3">
      <c r="D401" s="6"/>
      <c r="M401" s="121"/>
      <c r="Q401" s="54"/>
      <c r="S401" s="56"/>
      <c r="AC401" s="1"/>
      <c r="AD401" s="59"/>
    </row>
    <row r="402" spans="2:31" ht="15" thickBot="1" x14ac:dyDescent="0.3">
      <c r="C402" s="122"/>
      <c r="D402" s="6"/>
      <c r="I402" s="123"/>
      <c r="J402" s="124" t="e">
        <f>+J1-J403</f>
        <v>#REF!</v>
      </c>
      <c r="K402" s="125"/>
      <c r="L402" s="126" t="e">
        <f>+L1-L403</f>
        <v>#REF!</v>
      </c>
      <c r="M402" s="14" t="s">
        <v>441</v>
      </c>
      <c r="N402" s="126" t="e">
        <f>+W1-N403</f>
        <v>#REF!</v>
      </c>
      <c r="O402" s="14" t="s">
        <v>442</v>
      </c>
      <c r="S402" s="127"/>
      <c r="W402" s="128"/>
      <c r="AC402" s="1"/>
      <c r="AD402" s="121"/>
      <c r="AE402" s="129"/>
    </row>
    <row r="403" spans="2:31" s="143" customFormat="1" ht="15" thickBot="1" x14ac:dyDescent="0.3">
      <c r="B403" s="130"/>
      <c r="C403" s="3"/>
      <c r="D403" s="125"/>
      <c r="E403" s="130"/>
      <c r="F403" s="131"/>
      <c r="G403" s="132"/>
      <c r="H403" s="133"/>
      <c r="I403" s="134"/>
      <c r="J403" s="135" t="e">
        <f>SUM(J404:J408)</f>
        <v>#REF!</v>
      </c>
      <c r="K403" s="136"/>
      <c r="L403" s="137" t="e">
        <f>SUM(L404:L408)</f>
        <v>#REF!</v>
      </c>
      <c r="M403" s="138"/>
      <c r="N403" s="137" t="e">
        <f>SUBTOTAL(9,N404:N405)</f>
        <v>#REF!</v>
      </c>
      <c r="O403" s="130"/>
      <c r="P403" s="139"/>
      <c r="Q403" s="140"/>
      <c r="R403" s="141"/>
      <c r="S403" s="142"/>
      <c r="U403" s="144"/>
      <c r="V403" s="145"/>
      <c r="W403" s="146"/>
      <c r="Y403" s="131"/>
      <c r="AC403" s="131"/>
    </row>
    <row r="404" spans="2:31" x14ac:dyDescent="0.25">
      <c r="D404" s="6"/>
      <c r="G404" s="96"/>
      <c r="H404" s="147"/>
      <c r="I404" s="148" t="s">
        <v>125</v>
      </c>
      <c r="J404" s="149"/>
      <c r="K404" s="150" t="e">
        <f>+L404/J404</f>
        <v>#DIV/0!</v>
      </c>
      <c r="L404" s="151"/>
      <c r="M404" s="98" t="e">
        <f>+N404/J404</f>
        <v>#REF!</v>
      </c>
      <c r="N404" s="149" t="e">
        <f>+#REF!+#REF!+#REF!+#REF!+#REF!+#REF!+#REF!+#REF!+#REF!+#REF!+#REF!+#REF!+#REF!</f>
        <v>#REF!</v>
      </c>
      <c r="O404" s="152" t="e">
        <f>+M404-K404</f>
        <v>#REF!</v>
      </c>
    </row>
    <row r="405" spans="2:31" x14ac:dyDescent="0.25">
      <c r="D405" s="6"/>
      <c r="G405" s="96"/>
      <c r="H405" s="147"/>
      <c r="I405" s="148" t="s">
        <v>80</v>
      </c>
      <c r="J405" s="153" t="e">
        <f>#REF!+#REF!+#REF!+#REF!+#REF!+#REF!+#REF!+#REF!+#REF!+#REF!+#REF!+#REF!+#REF!+#REF!+#REF!+#REF!+#REF!+#REF!+#REF!+#REF!+#REF!+#REF!+#REF!+#REF!+#REF!+#REF!</f>
        <v>#REF!</v>
      </c>
      <c r="K405" s="150" t="e">
        <f>+L405/J405</f>
        <v>#REF!</v>
      </c>
      <c r="L405" s="149" t="e">
        <f>#REF!</f>
        <v>#REF!</v>
      </c>
      <c r="M405" s="98" t="e">
        <f>+N405/J405</f>
        <v>#REF!</v>
      </c>
      <c r="N405" s="149" t="e">
        <f>+#REF!+#REF!+#REF!+#REF!+#REF!+#REF!+#REF!+#REF!+#REF!+#REF!</f>
        <v>#REF!</v>
      </c>
      <c r="O405" s="152" t="e">
        <f>+M405-K405</f>
        <v>#REF!</v>
      </c>
    </row>
    <row r="406" spans="2:31" x14ac:dyDescent="0.25">
      <c r="I406" s="148" t="s">
        <v>98</v>
      </c>
      <c r="J406" s="52" t="e">
        <f>#REF!+#REF!+#REF!+#REF!+#REF!+#REF!+#REF!+#REF!+#REF!+#REF!+#REF!+#REF!+#REF!+#REF!+#REF!+#REF!+#REF!+#REF!+#REF!+#REF!+#REF!+#REF!</f>
        <v>#REF!</v>
      </c>
      <c r="K406" s="6" t="e">
        <f>+L406/J406</f>
        <v>#REF!</v>
      </c>
      <c r="L406" s="53" t="e">
        <f>#REF!</f>
        <v>#REF!</v>
      </c>
    </row>
    <row r="407" spans="2:31" x14ac:dyDescent="0.25">
      <c r="I407" s="148" t="s">
        <v>443</v>
      </c>
      <c r="J407" s="52" t="e">
        <f>#REF!+#REF!+#REF!+#REF!+#REF!+#REF!+#REF!+#REF!+#REF!+#REF!+#REF!+#REF!+#REF!+#REF!+#REF!+#REF!+#REF!+#REF!+#REF!+#REF!+#REF!+#REF!+#REF!+#REF!</f>
        <v>#REF!</v>
      </c>
      <c r="K407" s="6" t="e">
        <f>+L407/J407</f>
        <v>#REF!</v>
      </c>
      <c r="L407" s="53" t="e">
        <f>#REF!</f>
        <v>#REF!</v>
      </c>
    </row>
    <row r="408" spans="2:31" x14ac:dyDescent="0.25">
      <c r="I408" s="148" t="s">
        <v>72</v>
      </c>
      <c r="J408" s="52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K408" s="6" t="e">
        <f>+L408/J408</f>
        <v>#REF!</v>
      </c>
      <c r="L408" s="53" t="e">
        <f>#REF!</f>
        <v>#REF!</v>
      </c>
    </row>
    <row r="409" spans="2:31" x14ac:dyDescent="0.25">
      <c r="I409" s="2" t="s">
        <v>256</v>
      </c>
    </row>
  </sheetData>
  <autoFilter ref="B4:W319" xr:uid="{18F58D18-503D-473F-AC8E-02725350C0A1}"/>
  <mergeCells count="6">
    <mergeCell ref="G2:L2"/>
    <mergeCell ref="M2:W2"/>
    <mergeCell ref="X2:AC2"/>
    <mergeCell ref="B3:F3"/>
    <mergeCell ref="G3:L3"/>
    <mergeCell ref="M3:W3"/>
  </mergeCells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3CD1-01A5-4283-8A36-84C9F3A0FCFA}">
  <sheetPr>
    <tabColor rgb="FF00B0F0"/>
  </sheetPr>
  <dimension ref="A1:K67"/>
  <sheetViews>
    <sheetView tabSelected="1" zoomScaleNormal="100" workbookViewId="0">
      <pane ySplit="3" topLeftCell="A4" activePane="bottomLeft" state="frozen"/>
      <selection activeCell="N80" sqref="N80"/>
      <selection pane="bottomLeft" activeCell="A4" sqref="A4:XFD4"/>
    </sheetView>
  </sheetViews>
  <sheetFormatPr baseColWidth="10" defaultColWidth="11.42578125" defaultRowHeight="15" x14ac:dyDescent="0.25"/>
  <cols>
    <col min="1" max="1" width="4.140625" style="230" customWidth="1"/>
    <col min="2" max="2" width="21.28515625" style="165" customWidth="1"/>
    <col min="3" max="3" width="17.140625" style="231" customWidth="1"/>
    <col min="4" max="4" width="7.42578125" style="228" customWidth="1"/>
    <col min="5" max="5" width="10" style="232" customWidth="1"/>
    <col min="6" max="6" width="9.140625" style="233" bestFit="1" customWidth="1"/>
    <col min="7" max="7" width="17.7109375" style="230" bestFit="1" customWidth="1"/>
    <col min="8" max="8" width="51.5703125" style="168" customWidth="1"/>
    <col min="9" max="9" width="10.5703125" style="234" customWidth="1"/>
    <col min="10" max="10" width="11.85546875" style="234" customWidth="1"/>
    <col min="11" max="11" width="12.85546875" style="234" bestFit="1" customWidth="1"/>
    <col min="12" max="16384" width="11.42578125" style="168"/>
  </cols>
  <sheetData>
    <row r="1" spans="1:11" ht="8.25" customHeight="1" x14ac:dyDescent="0.25">
      <c r="A1" s="169"/>
      <c r="B1" s="170"/>
      <c r="C1" s="172"/>
      <c r="D1" s="173"/>
      <c r="E1" s="174"/>
      <c r="F1" s="175"/>
      <c r="G1" s="176"/>
      <c r="H1" s="171"/>
      <c r="I1" s="166"/>
      <c r="J1" s="167"/>
      <c r="K1" s="177"/>
    </row>
    <row r="2" spans="1:11" s="186" customFormat="1" ht="23.25" customHeight="1" x14ac:dyDescent="0.25">
      <c r="A2" s="178" t="s">
        <v>444</v>
      </c>
      <c r="B2" s="179" t="s">
        <v>445</v>
      </c>
      <c r="C2" s="180" t="s">
        <v>446</v>
      </c>
      <c r="D2" s="179" t="s">
        <v>447</v>
      </c>
      <c r="E2" s="181" t="s">
        <v>448</v>
      </c>
      <c r="F2" s="182" t="s">
        <v>449</v>
      </c>
      <c r="G2" s="183" t="s">
        <v>450</v>
      </c>
      <c r="H2" s="179" t="s">
        <v>451</v>
      </c>
      <c r="I2" s="184"/>
      <c r="J2" s="185"/>
      <c r="K2" s="184"/>
    </row>
    <row r="3" spans="1:11" s="186" customFormat="1" ht="23.25" customHeight="1" x14ac:dyDescent="0.25">
      <c r="A3" s="187"/>
      <c r="B3" s="188"/>
      <c r="C3" s="189"/>
      <c r="D3" s="188"/>
      <c r="E3" s="190"/>
      <c r="F3" s="191"/>
      <c r="G3" s="192"/>
      <c r="H3" s="188"/>
      <c r="I3" s="193" t="s">
        <v>452</v>
      </c>
      <c r="J3" s="194" t="s">
        <v>453</v>
      </c>
      <c r="K3" s="195" t="s">
        <v>454</v>
      </c>
    </row>
    <row r="4" spans="1:11" s="210" customFormat="1" ht="18" customHeight="1" x14ac:dyDescent="0.25">
      <c r="A4" s="196"/>
      <c r="B4" s="197" t="s">
        <v>455</v>
      </c>
      <c r="C4" s="198">
        <v>45117</v>
      </c>
      <c r="D4" s="199" t="s">
        <v>456</v>
      </c>
      <c r="E4" s="200">
        <v>45113</v>
      </c>
      <c r="F4" s="197">
        <v>7</v>
      </c>
      <c r="G4" s="197">
        <v>3204129000</v>
      </c>
      <c r="H4" s="197" t="s">
        <v>457</v>
      </c>
      <c r="I4" s="201">
        <f t="shared" ref="I4:I24" si="0">+K4/J4</f>
        <v>132.66000000000003</v>
      </c>
      <c r="J4" s="202">
        <v>93</v>
      </c>
      <c r="K4" s="201">
        <v>12337.380000000001</v>
      </c>
    </row>
    <row r="5" spans="1:11" s="210" customFormat="1" ht="18" customHeight="1" x14ac:dyDescent="0.25">
      <c r="A5" s="196"/>
      <c r="B5" s="197" t="s">
        <v>458</v>
      </c>
      <c r="C5" s="198">
        <v>45143</v>
      </c>
      <c r="D5" s="199" t="s">
        <v>459</v>
      </c>
      <c r="E5" s="200">
        <v>45140</v>
      </c>
      <c r="F5" s="197">
        <v>1</v>
      </c>
      <c r="G5" s="197">
        <v>3202100000</v>
      </c>
      <c r="H5" s="197" t="s">
        <v>45</v>
      </c>
      <c r="I5" s="201">
        <f>+K5/J5</f>
        <v>21.563939393939393</v>
      </c>
      <c r="J5" s="202">
        <v>66</v>
      </c>
      <c r="K5" s="201">
        <v>1423.22</v>
      </c>
    </row>
    <row r="6" spans="1:11" s="210" customFormat="1" ht="18" customHeight="1" x14ac:dyDescent="0.25">
      <c r="A6" s="196"/>
      <c r="B6" s="197" t="s">
        <v>460</v>
      </c>
      <c r="C6" s="198">
        <v>45142</v>
      </c>
      <c r="D6" s="199" t="s">
        <v>461</v>
      </c>
      <c r="E6" s="200">
        <v>45138</v>
      </c>
      <c r="F6" s="197">
        <v>5</v>
      </c>
      <c r="G6" s="197">
        <v>3204129000</v>
      </c>
      <c r="H6" s="197" t="s">
        <v>112</v>
      </c>
      <c r="I6" s="201">
        <f t="shared" si="0"/>
        <v>160.80842105263156</v>
      </c>
      <c r="J6" s="202">
        <v>111</v>
      </c>
      <c r="K6" s="201">
        <v>17849.734736842103</v>
      </c>
    </row>
    <row r="7" spans="1:11" s="210" customFormat="1" ht="18" customHeight="1" x14ac:dyDescent="0.25">
      <c r="A7" s="196"/>
      <c r="B7" s="197" t="s">
        <v>460</v>
      </c>
      <c r="C7" s="198">
        <v>45142</v>
      </c>
      <c r="D7" s="199" t="s">
        <v>461</v>
      </c>
      <c r="E7" s="200">
        <v>45138</v>
      </c>
      <c r="F7" s="197">
        <v>5</v>
      </c>
      <c r="G7" s="197">
        <v>3204129000</v>
      </c>
      <c r="H7" s="197" t="s">
        <v>462</v>
      </c>
      <c r="I7" s="201">
        <f t="shared" si="0"/>
        <v>155.5</v>
      </c>
      <c r="J7" s="202">
        <v>30</v>
      </c>
      <c r="K7" s="201">
        <v>4665</v>
      </c>
    </row>
    <row r="8" spans="1:11" s="210" customFormat="1" ht="18" customHeight="1" x14ac:dyDescent="0.25">
      <c r="A8" s="196"/>
      <c r="B8" s="197" t="s">
        <v>463</v>
      </c>
      <c r="C8" s="198">
        <v>45150</v>
      </c>
      <c r="D8" s="199" t="s">
        <v>464</v>
      </c>
      <c r="E8" s="200">
        <v>45146</v>
      </c>
      <c r="F8" s="197">
        <v>1</v>
      </c>
      <c r="G8" s="197">
        <v>3202100000</v>
      </c>
      <c r="H8" s="197" t="s">
        <v>291</v>
      </c>
      <c r="I8" s="201">
        <f t="shared" si="0"/>
        <v>22.67</v>
      </c>
      <c r="J8" s="202">
        <v>284.25</v>
      </c>
      <c r="K8" s="201">
        <v>6443.9475000000002</v>
      </c>
    </row>
    <row r="9" spans="1:11" s="210" customFormat="1" ht="18" customHeight="1" x14ac:dyDescent="0.25">
      <c r="A9" s="196"/>
      <c r="B9" s="197" t="s">
        <v>463</v>
      </c>
      <c r="C9" s="198">
        <v>45150</v>
      </c>
      <c r="D9" s="199" t="s">
        <v>464</v>
      </c>
      <c r="E9" s="200">
        <v>45146</v>
      </c>
      <c r="F9" s="197">
        <v>3</v>
      </c>
      <c r="G9" s="197">
        <v>3809939900</v>
      </c>
      <c r="H9" s="197" t="s">
        <v>465</v>
      </c>
      <c r="I9" s="201">
        <f t="shared" si="0"/>
        <v>16.603384418901662</v>
      </c>
      <c r="J9" s="202">
        <v>156.6</v>
      </c>
      <c r="K9" s="201">
        <v>2600.09</v>
      </c>
    </row>
    <row r="10" spans="1:11" s="210" customFormat="1" ht="18" customHeight="1" x14ac:dyDescent="0.25">
      <c r="A10" s="196"/>
      <c r="B10" s="197" t="s">
        <v>466</v>
      </c>
      <c r="C10" s="198">
        <v>45167</v>
      </c>
      <c r="D10" s="199" t="s">
        <v>467</v>
      </c>
      <c r="E10" s="200">
        <v>45162</v>
      </c>
      <c r="F10" s="197">
        <v>1</v>
      </c>
      <c r="G10" s="197">
        <v>3202100000</v>
      </c>
      <c r="H10" s="197" t="s">
        <v>468</v>
      </c>
      <c r="I10" s="201">
        <f t="shared" si="0"/>
        <v>26.275031847133761</v>
      </c>
      <c r="J10" s="202">
        <v>157</v>
      </c>
      <c r="K10" s="201">
        <v>4125.18</v>
      </c>
    </row>
    <row r="11" spans="1:11" s="210" customFormat="1" ht="18" customHeight="1" x14ac:dyDescent="0.25">
      <c r="A11" s="196"/>
      <c r="B11" s="197" t="s">
        <v>466</v>
      </c>
      <c r="C11" s="198">
        <v>45167</v>
      </c>
      <c r="D11" s="199" t="s">
        <v>467</v>
      </c>
      <c r="E11" s="200">
        <v>45162</v>
      </c>
      <c r="F11" s="197">
        <v>6</v>
      </c>
      <c r="G11" s="197">
        <v>3403910000</v>
      </c>
      <c r="H11" s="197" t="s">
        <v>469</v>
      </c>
      <c r="I11" s="201">
        <f t="shared" si="0"/>
        <v>26.3663988657845</v>
      </c>
      <c r="J11" s="202">
        <v>1058</v>
      </c>
      <c r="K11" s="201">
        <v>27895.65</v>
      </c>
    </row>
    <row r="12" spans="1:11" s="210" customFormat="1" ht="18" customHeight="1" x14ac:dyDescent="0.25">
      <c r="A12" s="196"/>
      <c r="B12" s="197" t="s">
        <v>470</v>
      </c>
      <c r="C12" s="198">
        <v>45185</v>
      </c>
      <c r="D12" s="199" t="s">
        <v>471</v>
      </c>
      <c r="E12" s="200">
        <v>45175</v>
      </c>
      <c r="F12" s="197">
        <v>1</v>
      </c>
      <c r="G12" s="197">
        <v>3202100000</v>
      </c>
      <c r="H12" s="197" t="s">
        <v>468</v>
      </c>
      <c r="I12" s="201">
        <f t="shared" si="0"/>
        <v>22.717666666666666</v>
      </c>
      <c r="J12" s="202">
        <v>3000</v>
      </c>
      <c r="K12" s="201">
        <v>68153</v>
      </c>
    </row>
    <row r="13" spans="1:11" s="210" customFormat="1" ht="18" customHeight="1" x14ac:dyDescent="0.25">
      <c r="A13" s="196"/>
      <c r="B13" s="197" t="s">
        <v>470</v>
      </c>
      <c r="C13" s="198">
        <v>45185</v>
      </c>
      <c r="D13" s="199" t="s">
        <v>471</v>
      </c>
      <c r="E13" s="200">
        <v>45175</v>
      </c>
      <c r="F13" s="197">
        <v>1</v>
      </c>
      <c r="G13" s="197">
        <v>3202100000</v>
      </c>
      <c r="H13" s="197" t="s">
        <v>291</v>
      </c>
      <c r="I13" s="201">
        <f t="shared" si="0"/>
        <v>22.717857142857142</v>
      </c>
      <c r="J13" s="202">
        <v>840</v>
      </c>
      <c r="K13" s="201">
        <v>19083</v>
      </c>
    </row>
    <row r="14" spans="1:11" s="210" customFormat="1" ht="18" customHeight="1" x14ac:dyDescent="0.25">
      <c r="A14" s="196"/>
      <c r="B14" s="197" t="s">
        <v>470</v>
      </c>
      <c r="C14" s="198">
        <v>45185</v>
      </c>
      <c r="D14" s="199" t="s">
        <v>471</v>
      </c>
      <c r="E14" s="200">
        <v>45175</v>
      </c>
      <c r="F14" s="197">
        <v>2</v>
      </c>
      <c r="G14" s="197">
        <v>3202900000</v>
      </c>
      <c r="H14" s="197" t="s">
        <v>472</v>
      </c>
      <c r="I14" s="201">
        <f t="shared" si="0"/>
        <v>22.847141518275539</v>
      </c>
      <c r="J14" s="202">
        <v>2134</v>
      </c>
      <c r="K14" s="201">
        <v>48755.8</v>
      </c>
    </row>
    <row r="15" spans="1:11" s="210" customFormat="1" ht="18" customHeight="1" x14ac:dyDescent="0.25">
      <c r="A15" s="196"/>
      <c r="B15" s="197" t="s">
        <v>470</v>
      </c>
      <c r="C15" s="198">
        <v>45185</v>
      </c>
      <c r="D15" s="199" t="s">
        <v>471</v>
      </c>
      <c r="E15" s="200">
        <v>45175</v>
      </c>
      <c r="F15" s="197">
        <v>3</v>
      </c>
      <c r="G15" s="197">
        <v>3809939900</v>
      </c>
      <c r="H15" s="197" t="s">
        <v>473</v>
      </c>
      <c r="I15" s="201">
        <f t="shared" si="0"/>
        <v>18.85149646107179</v>
      </c>
      <c r="J15" s="202">
        <v>989</v>
      </c>
      <c r="K15" s="201">
        <v>18644.13</v>
      </c>
    </row>
    <row r="16" spans="1:11" s="210" customFormat="1" ht="18" customHeight="1" x14ac:dyDescent="0.25">
      <c r="A16" s="196"/>
      <c r="B16" s="197" t="s">
        <v>474</v>
      </c>
      <c r="C16" s="198">
        <v>45215</v>
      </c>
      <c r="D16" s="199" t="s">
        <v>475</v>
      </c>
      <c r="E16" s="200">
        <v>45211</v>
      </c>
      <c r="F16" s="197">
        <v>5</v>
      </c>
      <c r="G16" s="197">
        <v>3204129000</v>
      </c>
      <c r="H16" s="197" t="s">
        <v>66</v>
      </c>
      <c r="I16" s="201">
        <f t="shared" si="0"/>
        <v>77.009411764705888</v>
      </c>
      <c r="J16" s="202">
        <v>8.5</v>
      </c>
      <c r="K16" s="201">
        <v>654.58000000000004</v>
      </c>
    </row>
    <row r="17" spans="1:11" s="210" customFormat="1" ht="18" customHeight="1" x14ac:dyDescent="0.25">
      <c r="A17" s="196"/>
      <c r="B17" s="197" t="s">
        <v>474</v>
      </c>
      <c r="C17" s="198">
        <v>45215</v>
      </c>
      <c r="D17" s="199" t="s">
        <v>475</v>
      </c>
      <c r="E17" s="200">
        <v>45211</v>
      </c>
      <c r="F17" s="197">
        <v>5</v>
      </c>
      <c r="G17" s="197">
        <v>3204129000</v>
      </c>
      <c r="H17" s="197" t="s">
        <v>66</v>
      </c>
      <c r="I17" s="201">
        <f t="shared" si="0"/>
        <v>77.008888888888848</v>
      </c>
      <c r="J17" s="202">
        <v>8.5</v>
      </c>
      <c r="K17" s="201">
        <v>654.57555555555518</v>
      </c>
    </row>
    <row r="18" spans="1:11" s="210" customFormat="1" ht="18" customHeight="1" x14ac:dyDescent="0.25">
      <c r="A18" s="196"/>
      <c r="B18" s="197" t="s">
        <v>476</v>
      </c>
      <c r="C18" s="198">
        <v>45344</v>
      </c>
      <c r="D18" s="199" t="s">
        <v>477</v>
      </c>
      <c r="E18" s="200">
        <v>45335</v>
      </c>
      <c r="F18" s="197">
        <v>3</v>
      </c>
      <c r="G18" s="197">
        <v>3204129000</v>
      </c>
      <c r="H18" s="197" t="s">
        <v>66</v>
      </c>
      <c r="I18" s="201">
        <f t="shared" si="0"/>
        <v>80.308571428571426</v>
      </c>
      <c r="J18" s="202">
        <v>175</v>
      </c>
      <c r="K18" s="201">
        <v>14054</v>
      </c>
    </row>
    <row r="19" spans="1:11" s="210" customFormat="1" ht="18" customHeight="1" x14ac:dyDescent="0.25">
      <c r="A19" s="196"/>
      <c r="B19" s="197" t="s">
        <v>476</v>
      </c>
      <c r="C19" s="198">
        <v>45344</v>
      </c>
      <c r="D19" s="199" t="s">
        <v>477</v>
      </c>
      <c r="E19" s="200">
        <v>45335</v>
      </c>
      <c r="F19" s="197">
        <v>3</v>
      </c>
      <c r="G19" s="197">
        <v>3241129000</v>
      </c>
      <c r="H19" s="197" t="s">
        <v>462</v>
      </c>
      <c r="I19" s="201">
        <f t="shared" si="0"/>
        <v>80.3</v>
      </c>
      <c r="J19" s="202">
        <v>30</v>
      </c>
      <c r="K19" s="201">
        <v>2409</v>
      </c>
    </row>
    <row r="20" spans="1:11" s="210" customFormat="1" ht="18" customHeight="1" x14ac:dyDescent="0.25">
      <c r="A20" s="196"/>
      <c r="B20" s="197" t="s">
        <v>476</v>
      </c>
      <c r="C20" s="198">
        <v>45344</v>
      </c>
      <c r="D20" s="199" t="s">
        <v>477</v>
      </c>
      <c r="E20" s="200">
        <v>45335</v>
      </c>
      <c r="F20" s="197">
        <v>3</v>
      </c>
      <c r="G20" s="197">
        <v>3241129000</v>
      </c>
      <c r="H20" s="197" t="s">
        <v>112</v>
      </c>
      <c r="I20" s="201">
        <f t="shared" si="0"/>
        <v>80.311111111111117</v>
      </c>
      <c r="J20" s="202">
        <v>225</v>
      </c>
      <c r="K20" s="201">
        <v>18070</v>
      </c>
    </row>
    <row r="21" spans="1:11" s="209" customFormat="1" ht="18" customHeight="1" thickBot="1" x14ac:dyDescent="0.3">
      <c r="A21" s="211"/>
      <c r="B21" s="203" t="s">
        <v>476</v>
      </c>
      <c r="C21" s="204">
        <v>45344</v>
      </c>
      <c r="D21" s="205" t="s">
        <v>477</v>
      </c>
      <c r="E21" s="206">
        <v>45335</v>
      </c>
      <c r="F21" s="203">
        <v>8</v>
      </c>
      <c r="G21" s="203">
        <v>3204129000</v>
      </c>
      <c r="H21" s="203" t="s">
        <v>113</v>
      </c>
      <c r="I21" s="207">
        <f t="shared" si="0"/>
        <v>133.55555555555554</v>
      </c>
      <c r="J21" s="208">
        <v>225</v>
      </c>
      <c r="K21" s="207">
        <v>30050</v>
      </c>
    </row>
    <row r="22" spans="1:11" s="219" customFormat="1" ht="18" customHeight="1" thickBot="1" x14ac:dyDescent="0.3">
      <c r="A22" s="212"/>
      <c r="B22" s="213" t="s">
        <v>478</v>
      </c>
      <c r="C22" s="214">
        <v>45437</v>
      </c>
      <c r="D22" s="215" t="s">
        <v>479</v>
      </c>
      <c r="E22" s="216">
        <v>45434</v>
      </c>
      <c r="F22" s="213">
        <v>1</v>
      </c>
      <c r="G22" s="213">
        <v>2915120000</v>
      </c>
      <c r="H22" s="213" t="s">
        <v>480</v>
      </c>
      <c r="I22" s="217">
        <f t="shared" si="0"/>
        <v>4.6493999999999991</v>
      </c>
      <c r="J22" s="218">
        <v>9135</v>
      </c>
      <c r="K22" s="217">
        <v>42472.268999999993</v>
      </c>
    </row>
    <row r="23" spans="1:11" s="227" customFormat="1" ht="18" customHeight="1" x14ac:dyDescent="0.25">
      <c r="A23" s="220"/>
      <c r="B23" s="221" t="s">
        <v>481</v>
      </c>
      <c r="C23" s="222">
        <v>45511</v>
      </c>
      <c r="D23" s="223" t="s">
        <v>482</v>
      </c>
      <c r="E23" s="224">
        <v>45504</v>
      </c>
      <c r="F23" s="221">
        <v>1</v>
      </c>
      <c r="G23" s="221">
        <v>2915110000</v>
      </c>
      <c r="H23" s="221" t="s">
        <v>483</v>
      </c>
      <c r="I23" s="225">
        <f t="shared" si="0"/>
        <v>10.125111111111103</v>
      </c>
      <c r="J23" s="226">
        <v>281</v>
      </c>
      <c r="K23" s="225">
        <v>2845.1562222222201</v>
      </c>
    </row>
    <row r="24" spans="1:11" s="227" customFormat="1" ht="18" customHeight="1" x14ac:dyDescent="0.25">
      <c r="A24" s="220"/>
      <c r="B24" s="221" t="s">
        <v>484</v>
      </c>
      <c r="C24" s="222">
        <v>45512</v>
      </c>
      <c r="D24" s="223" t="s">
        <v>485</v>
      </c>
      <c r="E24" s="224">
        <v>45502</v>
      </c>
      <c r="F24" s="221">
        <v>1</v>
      </c>
      <c r="G24" s="221">
        <v>2819900090</v>
      </c>
      <c r="H24" s="221" t="s">
        <v>438</v>
      </c>
      <c r="I24" s="225">
        <f t="shared" si="0"/>
        <v>13.803166666666666</v>
      </c>
      <c r="J24" s="226">
        <v>14898</v>
      </c>
      <c r="K24" s="225">
        <v>205639.57699999999</v>
      </c>
    </row>
    <row r="25" spans="1:11" x14ac:dyDescent="0.25">
      <c r="A25" s="168"/>
      <c r="C25" s="165"/>
      <c r="E25" s="229"/>
      <c r="F25" s="168"/>
      <c r="G25" s="168"/>
      <c r="I25" s="168"/>
      <c r="J25" s="168"/>
      <c r="K25" s="168"/>
    </row>
    <row r="26" spans="1:11" x14ac:dyDescent="0.25">
      <c r="A26" s="168"/>
      <c r="C26" s="165"/>
      <c r="E26" s="229"/>
      <c r="F26" s="168"/>
      <c r="G26" s="168"/>
      <c r="I26" s="168"/>
      <c r="J26" s="168"/>
      <c r="K26" s="168"/>
    </row>
    <row r="27" spans="1:11" x14ac:dyDescent="0.25">
      <c r="A27" s="168"/>
      <c r="C27" s="165"/>
      <c r="E27" s="229"/>
      <c r="F27" s="168"/>
      <c r="G27" s="168"/>
      <c r="I27" s="168"/>
      <c r="J27" s="168"/>
      <c r="K27" s="168"/>
    </row>
    <row r="28" spans="1:11" x14ac:dyDescent="0.25">
      <c r="A28" s="168"/>
      <c r="C28" s="165"/>
      <c r="E28" s="229"/>
      <c r="F28" s="168"/>
      <c r="G28" s="168"/>
      <c r="I28" s="168"/>
      <c r="J28" s="168"/>
      <c r="K28" s="168"/>
    </row>
    <row r="29" spans="1:11" x14ac:dyDescent="0.25">
      <c r="A29" s="168"/>
      <c r="C29" s="165"/>
      <c r="E29" s="229"/>
      <c r="F29" s="168"/>
      <c r="G29" s="168"/>
      <c r="I29" s="168"/>
      <c r="J29" s="168"/>
      <c r="K29" s="168"/>
    </row>
    <row r="30" spans="1:11" x14ac:dyDescent="0.25">
      <c r="A30" s="168"/>
      <c r="C30" s="165"/>
      <c r="E30" s="229"/>
      <c r="F30" s="168"/>
      <c r="G30" s="168"/>
      <c r="I30" s="168"/>
      <c r="J30" s="168"/>
      <c r="K30" s="168"/>
    </row>
    <row r="31" spans="1:11" x14ac:dyDescent="0.25">
      <c r="A31" s="168"/>
      <c r="C31" s="165"/>
      <c r="E31" s="229"/>
      <c r="F31" s="168"/>
      <c r="G31" s="168"/>
      <c r="I31" s="168"/>
      <c r="J31" s="168"/>
      <c r="K31" s="168"/>
    </row>
    <row r="32" spans="1:11" x14ac:dyDescent="0.25">
      <c r="A32" s="168"/>
      <c r="C32" s="165"/>
      <c r="E32" s="229"/>
      <c r="F32" s="168"/>
      <c r="G32" s="168"/>
      <c r="I32" s="168"/>
      <c r="J32" s="168"/>
      <c r="K32" s="168"/>
    </row>
    <row r="33" spans="1:11" x14ac:dyDescent="0.25">
      <c r="A33" s="168"/>
      <c r="C33" s="165"/>
      <c r="E33" s="229"/>
      <c r="F33" s="168"/>
      <c r="G33" s="168"/>
      <c r="I33" s="168"/>
      <c r="J33" s="168"/>
      <c r="K33" s="168"/>
    </row>
    <row r="34" spans="1:11" x14ac:dyDescent="0.25">
      <c r="A34" s="168"/>
      <c r="C34" s="165"/>
      <c r="E34" s="229"/>
      <c r="F34" s="168"/>
      <c r="G34" s="168"/>
      <c r="I34" s="168"/>
      <c r="J34" s="168"/>
      <c r="K34" s="168"/>
    </row>
    <row r="35" spans="1:11" x14ac:dyDescent="0.25">
      <c r="A35" s="168"/>
      <c r="C35" s="165"/>
      <c r="E35" s="229"/>
      <c r="F35" s="168"/>
      <c r="G35" s="168"/>
      <c r="I35" s="168"/>
      <c r="J35" s="168"/>
      <c r="K35" s="168"/>
    </row>
    <row r="36" spans="1:11" x14ac:dyDescent="0.25">
      <c r="A36" s="168"/>
      <c r="C36" s="165"/>
      <c r="E36" s="229"/>
      <c r="F36" s="168"/>
      <c r="G36" s="168"/>
      <c r="I36" s="168"/>
      <c r="J36" s="168"/>
      <c r="K36" s="168"/>
    </row>
    <row r="37" spans="1:11" x14ac:dyDescent="0.25">
      <c r="A37" s="168"/>
      <c r="C37" s="165"/>
      <c r="E37" s="229"/>
      <c r="F37" s="168"/>
      <c r="G37" s="168"/>
      <c r="I37" s="168"/>
      <c r="J37" s="168"/>
      <c r="K37" s="168"/>
    </row>
    <row r="38" spans="1:11" x14ac:dyDescent="0.25">
      <c r="A38" s="168"/>
      <c r="C38" s="165"/>
      <c r="E38" s="229"/>
      <c r="F38" s="168"/>
      <c r="G38" s="168"/>
      <c r="I38" s="168"/>
      <c r="J38" s="168"/>
      <c r="K38" s="168"/>
    </row>
    <row r="39" spans="1:11" x14ac:dyDescent="0.25">
      <c r="A39" s="168"/>
      <c r="C39" s="165"/>
      <c r="E39" s="229"/>
      <c r="F39" s="168"/>
      <c r="G39" s="168"/>
      <c r="I39" s="168"/>
      <c r="J39" s="168"/>
      <c r="K39" s="168"/>
    </row>
    <row r="40" spans="1:11" x14ac:dyDescent="0.25">
      <c r="A40" s="168"/>
      <c r="C40" s="165"/>
      <c r="E40" s="229"/>
      <c r="F40" s="168"/>
      <c r="G40" s="168"/>
      <c r="I40" s="168"/>
      <c r="J40" s="168"/>
      <c r="K40" s="168"/>
    </row>
    <row r="41" spans="1:11" x14ac:dyDescent="0.25">
      <c r="A41" s="168"/>
      <c r="C41" s="165"/>
      <c r="E41" s="229"/>
      <c r="F41" s="168"/>
      <c r="G41" s="168"/>
      <c r="I41" s="168"/>
      <c r="J41" s="168"/>
      <c r="K41" s="168"/>
    </row>
    <row r="42" spans="1:11" x14ac:dyDescent="0.25">
      <c r="A42" s="168"/>
      <c r="C42" s="165"/>
      <c r="E42" s="229"/>
      <c r="F42" s="168"/>
      <c r="G42" s="168"/>
      <c r="I42" s="168"/>
      <c r="J42" s="168"/>
      <c r="K42" s="168"/>
    </row>
    <row r="43" spans="1:11" x14ac:dyDescent="0.25">
      <c r="A43" s="168"/>
      <c r="C43" s="165"/>
      <c r="E43" s="229"/>
      <c r="F43" s="168"/>
      <c r="G43" s="168"/>
      <c r="I43" s="168"/>
      <c r="J43" s="168"/>
      <c r="K43" s="168"/>
    </row>
    <row r="44" spans="1:11" x14ac:dyDescent="0.25">
      <c r="A44" s="168"/>
      <c r="C44" s="165"/>
      <c r="E44" s="229"/>
      <c r="F44" s="168"/>
      <c r="G44" s="168"/>
      <c r="I44" s="168"/>
      <c r="J44" s="168"/>
      <c r="K44" s="168"/>
    </row>
    <row r="45" spans="1:11" x14ac:dyDescent="0.25">
      <c r="A45" s="168"/>
      <c r="C45" s="165"/>
      <c r="E45" s="229"/>
      <c r="F45" s="168"/>
      <c r="G45" s="168"/>
      <c r="I45" s="168"/>
      <c r="J45" s="168"/>
      <c r="K45" s="168"/>
    </row>
    <row r="46" spans="1:11" x14ac:dyDescent="0.25">
      <c r="A46" s="168"/>
      <c r="C46" s="165"/>
      <c r="E46" s="229"/>
      <c r="F46" s="168"/>
      <c r="G46" s="168"/>
      <c r="I46" s="168"/>
      <c r="J46" s="168"/>
      <c r="K46" s="168"/>
    </row>
    <row r="47" spans="1:11" x14ac:dyDescent="0.25">
      <c r="A47" s="168"/>
      <c r="C47" s="165"/>
      <c r="E47" s="229"/>
      <c r="F47" s="168"/>
      <c r="G47" s="168"/>
      <c r="I47" s="168"/>
      <c r="J47" s="168"/>
      <c r="K47" s="168"/>
    </row>
    <row r="48" spans="1:11" x14ac:dyDescent="0.25">
      <c r="A48" s="168"/>
      <c r="C48" s="165"/>
      <c r="E48" s="229"/>
      <c r="F48" s="168"/>
      <c r="G48" s="168"/>
      <c r="I48" s="168"/>
      <c r="J48" s="168"/>
      <c r="K48" s="168"/>
    </row>
    <row r="49" spans="1:11" x14ac:dyDescent="0.25">
      <c r="A49" s="168"/>
      <c r="C49" s="165"/>
      <c r="E49" s="229"/>
      <c r="F49" s="168"/>
      <c r="G49" s="168"/>
      <c r="I49" s="168"/>
      <c r="J49" s="168"/>
      <c r="K49" s="168"/>
    </row>
    <row r="50" spans="1:11" x14ac:dyDescent="0.25">
      <c r="A50" s="168"/>
      <c r="C50" s="165"/>
      <c r="E50" s="229"/>
      <c r="F50" s="168"/>
      <c r="G50" s="168"/>
      <c r="I50" s="168"/>
      <c r="J50" s="168"/>
      <c r="K50" s="168"/>
    </row>
    <row r="51" spans="1:11" x14ac:dyDescent="0.25">
      <c r="A51" s="168"/>
      <c r="C51" s="165"/>
      <c r="E51" s="229"/>
      <c r="F51" s="168"/>
      <c r="G51" s="168"/>
      <c r="I51" s="168"/>
      <c r="J51" s="168"/>
      <c r="K51" s="168"/>
    </row>
    <row r="52" spans="1:11" x14ac:dyDescent="0.25">
      <c r="A52" s="168"/>
      <c r="C52" s="165"/>
      <c r="E52" s="229"/>
      <c r="F52" s="168"/>
      <c r="G52" s="168"/>
      <c r="I52" s="168"/>
      <c r="J52" s="168"/>
      <c r="K52" s="168"/>
    </row>
    <row r="53" spans="1:11" x14ac:dyDescent="0.25">
      <c r="A53" s="168"/>
      <c r="C53" s="165"/>
      <c r="E53" s="229"/>
      <c r="F53" s="168"/>
      <c r="G53" s="168"/>
      <c r="I53" s="168"/>
      <c r="J53" s="168"/>
      <c r="K53" s="168"/>
    </row>
    <row r="54" spans="1:11" x14ac:dyDescent="0.25">
      <c r="A54" s="168"/>
      <c r="C54" s="165"/>
      <c r="E54" s="229"/>
      <c r="F54" s="168"/>
      <c r="G54" s="168"/>
      <c r="I54" s="168"/>
      <c r="J54" s="168"/>
      <c r="K54" s="168"/>
    </row>
    <row r="55" spans="1:11" x14ac:dyDescent="0.25">
      <c r="A55" s="168"/>
      <c r="C55" s="165"/>
      <c r="E55" s="229"/>
      <c r="F55" s="168"/>
      <c r="G55" s="168"/>
      <c r="I55" s="168"/>
      <c r="J55" s="168"/>
      <c r="K55" s="168"/>
    </row>
    <row r="56" spans="1:11" x14ac:dyDescent="0.25">
      <c r="A56" s="168"/>
      <c r="C56" s="165"/>
      <c r="E56" s="229"/>
      <c r="F56" s="168"/>
      <c r="G56" s="168"/>
      <c r="I56" s="168"/>
      <c r="J56" s="168"/>
      <c r="K56" s="168"/>
    </row>
    <row r="57" spans="1:11" x14ac:dyDescent="0.25">
      <c r="A57" s="168"/>
      <c r="C57" s="165"/>
      <c r="E57" s="229"/>
      <c r="F57" s="168"/>
      <c r="G57" s="168"/>
      <c r="I57" s="168"/>
      <c r="J57" s="168"/>
      <c r="K57" s="168"/>
    </row>
    <row r="58" spans="1:11" x14ac:dyDescent="0.25">
      <c r="A58" s="168"/>
      <c r="C58" s="165"/>
      <c r="E58" s="229"/>
      <c r="F58" s="168"/>
      <c r="G58" s="168"/>
      <c r="I58" s="168"/>
      <c r="J58" s="168"/>
      <c r="K58" s="168"/>
    </row>
    <row r="59" spans="1:11" x14ac:dyDescent="0.25">
      <c r="A59" s="168"/>
      <c r="C59" s="165"/>
      <c r="E59" s="229"/>
      <c r="F59" s="168"/>
      <c r="G59" s="168"/>
      <c r="I59" s="168"/>
      <c r="J59" s="168"/>
      <c r="K59" s="168"/>
    </row>
    <row r="60" spans="1:11" x14ac:dyDescent="0.25">
      <c r="A60" s="168"/>
      <c r="C60" s="165"/>
      <c r="E60" s="229"/>
      <c r="F60" s="168"/>
      <c r="G60" s="168"/>
      <c r="I60" s="168"/>
      <c r="J60" s="168"/>
      <c r="K60" s="168"/>
    </row>
    <row r="61" spans="1:11" x14ac:dyDescent="0.25">
      <c r="A61" s="168"/>
      <c r="C61" s="165"/>
      <c r="E61" s="229"/>
      <c r="F61" s="168"/>
      <c r="G61" s="168"/>
      <c r="I61" s="168"/>
      <c r="J61" s="168"/>
      <c r="K61" s="168"/>
    </row>
    <row r="62" spans="1:11" x14ac:dyDescent="0.25">
      <c r="A62" s="168"/>
      <c r="C62" s="165"/>
      <c r="E62" s="229"/>
      <c r="F62" s="168"/>
      <c r="G62" s="168"/>
      <c r="I62" s="168"/>
      <c r="J62" s="168"/>
      <c r="K62" s="168"/>
    </row>
    <row r="63" spans="1:11" x14ac:dyDescent="0.25">
      <c r="A63" s="168"/>
      <c r="C63" s="165"/>
      <c r="E63" s="229"/>
      <c r="F63" s="168"/>
      <c r="G63" s="168"/>
      <c r="I63" s="168"/>
      <c r="J63" s="168"/>
      <c r="K63" s="168"/>
    </row>
    <row r="64" spans="1:11" x14ac:dyDescent="0.25">
      <c r="A64" s="168"/>
      <c r="C64" s="165"/>
      <c r="E64" s="229"/>
      <c r="F64" s="168"/>
      <c r="G64" s="168"/>
      <c r="I64" s="168"/>
      <c r="J64" s="168"/>
      <c r="K64" s="168"/>
    </row>
    <row r="65" spans="1:11" x14ac:dyDescent="0.25">
      <c r="A65" s="168"/>
      <c r="C65" s="165"/>
      <c r="E65" s="229"/>
      <c r="F65" s="168"/>
      <c r="G65" s="168"/>
      <c r="I65" s="168"/>
      <c r="J65" s="168"/>
      <c r="K65" s="168"/>
    </row>
    <row r="66" spans="1:11" x14ac:dyDescent="0.25">
      <c r="A66" s="168"/>
      <c r="C66" s="165"/>
      <c r="E66" s="229"/>
      <c r="F66" s="168"/>
      <c r="G66" s="168"/>
      <c r="I66" s="168"/>
      <c r="J66" s="168"/>
      <c r="K66" s="168"/>
    </row>
    <row r="67" spans="1:11" x14ac:dyDescent="0.25">
      <c r="A67" s="168"/>
      <c r="C67" s="165"/>
      <c r="E67" s="229"/>
      <c r="F67" s="168"/>
      <c r="G67" s="168"/>
      <c r="I67" s="168"/>
      <c r="J67" s="168"/>
      <c r="K67" s="168"/>
    </row>
  </sheetData>
  <autoFilter ref="A2:K24" xr:uid="{00000000-0009-0000-0000-000019000000}"/>
  <mergeCells count="8">
    <mergeCell ref="A2:A3"/>
    <mergeCell ref="B2:B3"/>
    <mergeCell ref="C2:C3"/>
    <mergeCell ref="D2:D3"/>
    <mergeCell ref="E2:E3"/>
    <mergeCell ref="F2:F3"/>
    <mergeCell ref="G2:G3"/>
    <mergeCell ref="H2:H3"/>
  </mergeCells>
  <printOptions horizontalCentered="1"/>
  <pageMargins left="0" right="0" top="0" bottom="0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Achats 2025</vt:lpstr>
      <vt:lpstr>IMPORT DETAILLE</vt:lpstr>
      <vt:lpstr>'Achats 2025'!Zone_d_impression</vt:lpstr>
      <vt:lpstr>'IMPORT DETAILLE'!Zone_d_impression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elmadi</dc:creator>
  <cp:lastModifiedBy>bouchra elmadi</cp:lastModifiedBy>
  <dcterms:created xsi:type="dcterms:W3CDTF">2026-02-17T17:05:38Z</dcterms:created>
  <dcterms:modified xsi:type="dcterms:W3CDTF">2026-02-17T17:25:46Z</dcterms:modified>
</cp:coreProperties>
</file>
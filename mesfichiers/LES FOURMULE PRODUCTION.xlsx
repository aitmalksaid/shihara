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uchra\Dropbox\TVA SHIHARA\said\"/>
    </mc:Choice>
  </mc:AlternateContent>
  <xr:revisionPtr revIDLastSave="0" documentId="13_ncr:1_{200DFF88-19B3-4CF4-9D4F-32DF2B4B4F59}" xr6:coauthVersionLast="47" xr6:coauthVersionMax="47" xr10:uidLastSave="{00000000-0000-0000-0000-000000000000}"/>
  <bookViews>
    <workbookView xWindow="-120" yWindow="-120" windowWidth="29040" windowHeight="15840" activeTab="4" xr2:uid="{D731732E-4F48-4598-8D34-525697F53999}"/>
  </bookViews>
  <sheets>
    <sheet name="PH 1 -Rivier" sheetId="1" r:id="rId1"/>
    <sheet name="PH 2 -tannage" sheetId="2" r:id="rId2"/>
    <sheet name="PH3-RETANNAGE COL NOIR" sheetId="3" r:id="rId3"/>
    <sheet name="PH 3-RETANNGE COL LT BROWN" sheetId="5" r:id="rId4"/>
    <sheet name="RETANNAGE CROUTE VELOURS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6" l="1"/>
  <c r="H18" i="6"/>
  <c r="H19" i="6"/>
  <c r="H20" i="6"/>
  <c r="H21" i="6"/>
  <c r="H22" i="6"/>
  <c r="H23" i="6"/>
  <c r="H24" i="6"/>
  <c r="H25" i="6"/>
  <c r="H26" i="6"/>
  <c r="H27" i="6"/>
  <c r="H28" i="6"/>
  <c r="I44" i="5" l="1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H28" i="2"/>
  <c r="H26" i="2"/>
  <c r="H24" i="2"/>
  <c r="H23" i="2"/>
  <c r="H22" i="2"/>
  <c r="H20" i="2"/>
  <c r="H14" i="2"/>
  <c r="H13" i="2"/>
  <c r="F26" i="1"/>
  <c r="F25" i="1"/>
  <c r="F24" i="1"/>
  <c r="F23" i="1"/>
  <c r="F22" i="1"/>
  <c r="F21" i="1"/>
  <c r="F20" i="1"/>
  <c r="F19" i="1"/>
  <c r="F18" i="1"/>
  <c r="F17" i="1"/>
  <c r="F16" i="1"/>
  <c r="F15" i="1"/>
</calcChain>
</file>

<file path=xl/sharedStrings.xml><?xml version="1.0" encoding="utf-8"?>
<sst xmlns="http://schemas.openxmlformats.org/spreadsheetml/2006/main" count="156" uniqueCount="101">
  <si>
    <t>SHIHARA</t>
  </si>
  <si>
    <t>FICHE DE CONSOMATION RIVIER</t>
  </si>
  <si>
    <t>Pass N°    : 13716</t>
  </si>
  <si>
    <t>Date :</t>
  </si>
  <si>
    <t xml:space="preserve">    17 / 01 /2026</t>
  </si>
  <si>
    <t>Nbr px     : 162</t>
  </si>
  <si>
    <t>Pds Brut  : 4000</t>
  </si>
  <si>
    <t xml:space="preserve">Foulon     : </t>
  </si>
  <si>
    <t>%</t>
  </si>
  <si>
    <t>POIDS  KG</t>
  </si>
  <si>
    <t>PRODUIT</t>
  </si>
  <si>
    <t>BICARBONATE</t>
  </si>
  <si>
    <t>CARBONATE</t>
  </si>
  <si>
    <t xml:space="preserve">CHAUX </t>
  </si>
  <si>
    <t>NOVASOAP SE</t>
  </si>
  <si>
    <t>NOVALIME N</t>
  </si>
  <si>
    <t>NOVADECAL</t>
  </si>
  <si>
    <t>NOVATEN BA</t>
  </si>
  <si>
    <t>NOVACIDE FXL</t>
  </si>
  <si>
    <t>SEL</t>
  </si>
  <si>
    <t>SULFURE</t>
  </si>
  <si>
    <t>TRIPOLYPHOSPHATE</t>
  </si>
  <si>
    <t>NOVAZIM S20</t>
  </si>
  <si>
    <t>SAUDE CAUSTIQUE</t>
  </si>
  <si>
    <t xml:space="preserve">SULFYDRATE </t>
  </si>
  <si>
    <t>FICHE DE CONSOMATION TANNAGE</t>
  </si>
  <si>
    <t>Pass N°    : 13714</t>
  </si>
  <si>
    <t xml:space="preserve">  17/01/2026</t>
  </si>
  <si>
    <t>Nbr px     : 157</t>
  </si>
  <si>
    <t>Pds Tripe : 4600</t>
  </si>
  <si>
    <t>Raie         : EXG</t>
  </si>
  <si>
    <t>Foulon     :</t>
  </si>
  <si>
    <t>ACIDE FORMIQUE</t>
  </si>
  <si>
    <t xml:space="preserve">ACIDE SULFIRIQUE </t>
  </si>
  <si>
    <t>METABISULFITE</t>
  </si>
  <si>
    <t>CHAUX</t>
  </si>
  <si>
    <t>CHROME</t>
  </si>
  <si>
    <t>FORMIATE</t>
  </si>
  <si>
    <t>NOVAOXIDE MOS</t>
  </si>
  <si>
    <t>NOVAZIM R (NEOMAC P)</t>
  </si>
  <si>
    <t>NOVACIDE OPK (C3)</t>
  </si>
  <si>
    <t>NOVATEN SF</t>
  </si>
  <si>
    <t>NOVALIKER GLS</t>
  </si>
  <si>
    <t xml:space="preserve">SEL </t>
  </si>
  <si>
    <t>Fiche de Consomation NOIR</t>
  </si>
  <si>
    <t>Date :Debut activité :      16  /  01  /  2026</t>
  </si>
  <si>
    <t xml:space="preserve">          :Fin activité      :       17  /  01  /  2026</t>
  </si>
  <si>
    <t>SERIE N° :  22070</t>
  </si>
  <si>
    <t>Article :  VICTORIA BOX B2</t>
  </si>
  <si>
    <t>Nb Bandes :  270</t>
  </si>
  <si>
    <t>Poids derayé en KG :  450</t>
  </si>
  <si>
    <t>Force : 1,3</t>
  </si>
  <si>
    <t>Coleur : Noir</t>
  </si>
  <si>
    <t>Folon N° : 6</t>
  </si>
  <si>
    <t>Raie : G</t>
  </si>
  <si>
    <t>POIDS KG</t>
  </si>
  <si>
    <t>BICARBONATE SODUIM</t>
  </si>
  <si>
    <t>NOIR LG  (STG)</t>
  </si>
  <si>
    <t xml:space="preserve">FARINE </t>
  </si>
  <si>
    <t>FORMIATE DE SODIUM</t>
  </si>
  <si>
    <t xml:space="preserve">NOVALIKER IN </t>
  </si>
  <si>
    <t>NOVALIKER 5084</t>
  </si>
  <si>
    <t>NOVACRIL 34</t>
  </si>
  <si>
    <t>NOVACRIL 9146</t>
  </si>
  <si>
    <t>NOVADERM LU</t>
  </si>
  <si>
    <t>NOVAFILL PB</t>
  </si>
  <si>
    <t>NOVALIKER 4BB</t>
  </si>
  <si>
    <t>NOVASOAP LES</t>
  </si>
  <si>
    <t xml:space="preserve">NOVASLIP KN </t>
  </si>
  <si>
    <t xml:space="preserve">NOVATAN ING </t>
  </si>
  <si>
    <t>NOVATAN M (ACTAN NH)</t>
  </si>
  <si>
    <t>NOVALIKER GSN</t>
  </si>
  <si>
    <t>NOVAFIX 30</t>
  </si>
  <si>
    <t>Fiche de Consomation LT BROWN</t>
  </si>
  <si>
    <t>Date :Debut activité :      16  /  12 / 2025</t>
  </si>
  <si>
    <t xml:space="preserve">          :Fin activité      :      17   / 12  / 2025</t>
  </si>
  <si>
    <t>SERIE N° : 22040</t>
  </si>
  <si>
    <t>Nb Bandes : 270</t>
  </si>
  <si>
    <t>Poids derayé en KG : 760</t>
  </si>
  <si>
    <t>Coleur : LT BROWN</t>
  </si>
  <si>
    <t>Folon N° : 2</t>
  </si>
  <si>
    <t>HF BROWN G</t>
  </si>
  <si>
    <t>NOVATAN M</t>
  </si>
  <si>
    <t xml:space="preserve"> NOVALAN FN</t>
  </si>
  <si>
    <t>NOVALIKER SCM50</t>
  </si>
  <si>
    <t>NOVALIKER G80</t>
  </si>
  <si>
    <t>NOVATAN ING</t>
  </si>
  <si>
    <t>Produit</t>
  </si>
  <si>
    <t>Poids KG</t>
  </si>
  <si>
    <t>Raie :</t>
  </si>
  <si>
    <t>Folon N° : 8</t>
  </si>
  <si>
    <t>Coleur : NATURAL</t>
  </si>
  <si>
    <t>Force : 1,2-1,0</t>
  </si>
  <si>
    <t>Poids derayé en KG : 500</t>
  </si>
  <si>
    <t>Nb Bandes : 300</t>
  </si>
  <si>
    <t>Article :  VELOURS</t>
  </si>
  <si>
    <t>SERIE N° : 194</t>
  </si>
  <si>
    <t xml:space="preserve">          :Fin activité      :       16   / 01 / 2026</t>
  </si>
  <si>
    <t>Date :Debut activité :      15  /  01 / 2026</t>
  </si>
  <si>
    <t>Fiche de Consomation VELOURS</t>
  </si>
  <si>
    <t xml:space="preserve">SOUS PRODUITS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</si>
</sst>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 val="double"/>
      <sz val="14"/>
      <color theme="1"/>
      <name val="Calibri"/>
      <family val="2"/>
      <scheme val="minor"/>
    </font>
    <font>
      <u val="double"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5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0" fontId="2" fillId="0" borderId="1" xfId="0" applyNumberFormat="1" applyFont="1" applyBorder="1"/>
    <xf numFmtId="2" fontId="2" fillId="0" borderId="1" xfId="0" applyNumberFormat="1" applyFont="1" applyBorder="1"/>
    <xf numFmtId="9" fontId="2" fillId="0" borderId="1" xfId="0" applyNumberFormat="1" applyFont="1" applyBorder="1"/>
    <xf numFmtId="0" fontId="3" fillId="0" borderId="1" xfId="0" applyFont="1" applyBorder="1"/>
    <xf numFmtId="10" fontId="3" fillId="0" borderId="1" xfId="0" applyNumberFormat="1" applyFont="1" applyBorder="1"/>
    <xf numFmtId="2" fontId="3" fillId="0" borderId="1" xfId="0" applyNumberFormat="1" applyFont="1" applyBorder="1"/>
    <xf numFmtId="14" fontId="2" fillId="0" borderId="0" xfId="0" applyNumberFormat="1" applyFont="1" applyAlignment="1">
      <alignment horizontal="left"/>
    </xf>
    <xf numFmtId="164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10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/>
    <xf numFmtId="10" fontId="1" fillId="0" borderId="5" xfId="0" applyNumberFormat="1" applyFont="1" applyBorder="1"/>
    <xf numFmtId="2" fontId="1" fillId="0" borderId="4" xfId="0" applyNumberFormat="1" applyFont="1" applyBorder="1"/>
    <xf numFmtId="9" fontId="1" fillId="0" borderId="5" xfId="0" applyNumberFormat="1" applyFont="1" applyBorder="1"/>
    <xf numFmtId="0" fontId="1" fillId="0" borderId="6" xfId="0" applyFont="1" applyBorder="1"/>
    <xf numFmtId="10" fontId="1" fillId="0" borderId="7" xfId="0" applyNumberFormat="1" applyFont="1" applyBorder="1"/>
    <xf numFmtId="0" fontId="1" fillId="0" borderId="8" xfId="0" applyFont="1" applyBorder="1"/>
    <xf numFmtId="10" fontId="1" fillId="0" borderId="9" xfId="0" applyNumberFormat="1" applyFont="1" applyBorder="1"/>
    <xf numFmtId="2" fontId="1" fillId="0" borderId="8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10" fontId="1" fillId="0" borderId="1" xfId="0" applyNumberFormat="1" applyFont="1" applyBorder="1"/>
    <xf numFmtId="2" fontId="1" fillId="0" borderId="1" xfId="0" applyNumberFormat="1" applyFont="1" applyBorder="1"/>
    <xf numFmtId="9" fontId="1" fillId="0" borderId="1" xfId="0" applyNumberFormat="1" applyFont="1" applyBorder="1"/>
    <xf numFmtId="0" fontId="2" fillId="0" borderId="11" xfId="0" applyFont="1" applyBorder="1"/>
    <xf numFmtId="10" fontId="2" fillId="0" borderId="12" xfId="0" applyNumberFormat="1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10" fontId="2" fillId="0" borderId="17" xfId="0" applyNumberFormat="1" applyFont="1" applyBorder="1"/>
    <xf numFmtId="0" fontId="2" fillId="0" borderId="18" xfId="0" applyFont="1" applyBorder="1"/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10" xfId="0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CADB0-8453-45B9-A270-05C83EEAD69F}">
  <dimension ref="D5:F30"/>
  <sheetViews>
    <sheetView workbookViewId="0">
      <selection activeCell="D6" sqref="D6:F6"/>
    </sheetView>
  </sheetViews>
  <sheetFormatPr baseColWidth="10" defaultRowHeight="15" x14ac:dyDescent="0.25"/>
  <cols>
    <col min="2" max="2" width="0.28515625" customWidth="1"/>
    <col min="3" max="3" width="1.28515625" customWidth="1"/>
    <col min="4" max="4" width="29.85546875" customWidth="1"/>
    <col min="6" max="6" width="21.42578125" customWidth="1"/>
  </cols>
  <sheetData>
    <row r="5" spans="4:6" ht="18.75" x14ac:dyDescent="0.3">
      <c r="D5" s="1" t="s">
        <v>0</v>
      </c>
      <c r="E5" s="2"/>
      <c r="F5" s="2"/>
    </row>
    <row r="6" spans="4:6" ht="18.75" x14ac:dyDescent="0.25">
      <c r="D6" s="52" t="s">
        <v>1</v>
      </c>
      <c r="E6" s="52"/>
      <c r="F6" s="52"/>
    </row>
    <row r="7" spans="4:6" ht="18.75" x14ac:dyDescent="0.3">
      <c r="D7" s="2"/>
      <c r="E7" s="2"/>
      <c r="F7" s="2"/>
    </row>
    <row r="8" spans="4:6" ht="18.75" x14ac:dyDescent="0.3">
      <c r="D8" s="1" t="s">
        <v>2</v>
      </c>
      <c r="E8" s="3" t="s">
        <v>3</v>
      </c>
      <c r="F8" s="1" t="s">
        <v>4</v>
      </c>
    </row>
    <row r="9" spans="4:6" ht="18.75" x14ac:dyDescent="0.3">
      <c r="D9" s="1" t="s">
        <v>5</v>
      </c>
      <c r="E9" s="2"/>
      <c r="F9" s="2"/>
    </row>
    <row r="10" spans="4:6" ht="18.75" x14ac:dyDescent="0.3">
      <c r="D10" s="1" t="s">
        <v>6</v>
      </c>
      <c r="E10" s="2"/>
      <c r="F10" s="4"/>
    </row>
    <row r="11" spans="4:6" ht="18.75" x14ac:dyDescent="0.3">
      <c r="D11" s="1" t="s">
        <v>7</v>
      </c>
      <c r="E11" s="2"/>
      <c r="F11" s="2"/>
    </row>
    <row r="12" spans="4:6" ht="18.75" x14ac:dyDescent="0.3">
      <c r="D12" s="2"/>
      <c r="E12" s="2"/>
      <c r="F12" s="2"/>
    </row>
    <row r="13" spans="4:6" ht="18.75" x14ac:dyDescent="0.3">
      <c r="D13" s="1"/>
      <c r="E13" s="5" t="s">
        <v>8</v>
      </c>
      <c r="F13" s="5" t="s">
        <v>9</v>
      </c>
    </row>
    <row r="14" spans="4:6" ht="18.75" x14ac:dyDescent="0.3">
      <c r="D14" s="5" t="s">
        <v>10</v>
      </c>
      <c r="E14" s="5" t="s">
        <v>8</v>
      </c>
      <c r="F14" s="5">
        <v>4000</v>
      </c>
    </row>
    <row r="15" spans="4:6" ht="18.75" x14ac:dyDescent="0.3">
      <c r="D15" s="6" t="s">
        <v>11</v>
      </c>
      <c r="E15" s="7">
        <v>4.0000000000000001E-3</v>
      </c>
      <c r="F15" s="8">
        <f>$F$14*E15</f>
        <v>16</v>
      </c>
    </row>
    <row r="16" spans="4:6" ht="18.75" x14ac:dyDescent="0.3">
      <c r="D16" s="6" t="s">
        <v>12</v>
      </c>
      <c r="E16" s="7">
        <v>4.0000000000000001E-3</v>
      </c>
      <c r="F16" s="8">
        <f t="shared" ref="F16:F26" si="0">$F$14*E16</f>
        <v>16</v>
      </c>
    </row>
    <row r="17" spans="4:6" ht="18.75" x14ac:dyDescent="0.3">
      <c r="D17" s="6" t="s">
        <v>13</v>
      </c>
      <c r="E17" s="7">
        <v>4.4999999999999998E-2</v>
      </c>
      <c r="F17" s="8">
        <f t="shared" si="0"/>
        <v>180</v>
      </c>
    </row>
    <row r="18" spans="4:6" ht="18.75" x14ac:dyDescent="0.3">
      <c r="D18" s="6" t="s">
        <v>14</v>
      </c>
      <c r="E18" s="7">
        <v>7.4999999999999997E-3</v>
      </c>
      <c r="F18" s="8">
        <f t="shared" si="0"/>
        <v>30</v>
      </c>
    </row>
    <row r="19" spans="4:6" ht="18.75" x14ac:dyDescent="0.3">
      <c r="D19" s="6" t="s">
        <v>15</v>
      </c>
      <c r="E19" s="9">
        <v>0.03</v>
      </c>
      <c r="F19" s="8">
        <f t="shared" si="0"/>
        <v>120</v>
      </c>
    </row>
    <row r="20" spans="4:6" ht="18.75" x14ac:dyDescent="0.3">
      <c r="D20" s="6" t="s">
        <v>16</v>
      </c>
      <c r="E20" s="7">
        <v>2E-3</v>
      </c>
      <c r="F20" s="8">
        <f t="shared" si="0"/>
        <v>8</v>
      </c>
    </row>
    <row r="21" spans="4:6" ht="18.75" x14ac:dyDescent="0.3">
      <c r="D21" s="6" t="s">
        <v>17</v>
      </c>
      <c r="E21" s="7">
        <v>4.0000000000000001E-3</v>
      </c>
      <c r="F21" s="8">
        <f t="shared" si="0"/>
        <v>16</v>
      </c>
    </row>
    <row r="22" spans="4:6" ht="18.75" x14ac:dyDescent="0.3">
      <c r="D22" s="6" t="s">
        <v>18</v>
      </c>
      <c r="E22" s="7">
        <v>5.0000000000000001E-3</v>
      </c>
      <c r="F22" s="8">
        <f t="shared" si="0"/>
        <v>20</v>
      </c>
    </row>
    <row r="23" spans="4:6" ht="18.75" x14ac:dyDescent="0.3">
      <c r="D23" s="6" t="s">
        <v>19</v>
      </c>
      <c r="E23" s="9">
        <v>0.01</v>
      </c>
      <c r="F23" s="8">
        <f t="shared" si="0"/>
        <v>40</v>
      </c>
    </row>
    <row r="24" spans="4:6" ht="18.75" x14ac:dyDescent="0.3">
      <c r="D24" s="6" t="s">
        <v>20</v>
      </c>
      <c r="E24" s="7">
        <v>3.5999999999999997E-2</v>
      </c>
      <c r="F24" s="8">
        <f t="shared" si="0"/>
        <v>144</v>
      </c>
    </row>
    <row r="25" spans="4:6" ht="18.75" x14ac:dyDescent="0.3">
      <c r="D25" s="6" t="s">
        <v>21</v>
      </c>
      <c r="E25" s="7">
        <v>2E-3</v>
      </c>
      <c r="F25" s="8">
        <f t="shared" si="0"/>
        <v>8</v>
      </c>
    </row>
    <row r="26" spans="4:6" ht="18.75" x14ac:dyDescent="0.3">
      <c r="D26" s="6" t="s">
        <v>22</v>
      </c>
      <c r="E26" s="7">
        <v>2E-3</v>
      </c>
      <c r="F26" s="8">
        <f t="shared" si="0"/>
        <v>8</v>
      </c>
    </row>
    <row r="27" spans="4:6" ht="18.75" x14ac:dyDescent="0.3">
      <c r="D27" s="6" t="s">
        <v>23</v>
      </c>
      <c r="E27" s="7">
        <v>3.0000000000000001E-3</v>
      </c>
      <c r="F27" s="8">
        <v>12.5</v>
      </c>
    </row>
    <row r="28" spans="4:6" ht="18.75" x14ac:dyDescent="0.3">
      <c r="D28" s="6" t="s">
        <v>24</v>
      </c>
      <c r="E28" s="7">
        <v>1.2E-2</v>
      </c>
      <c r="F28" s="8">
        <v>50</v>
      </c>
    </row>
    <row r="29" spans="4:6" ht="18.75" x14ac:dyDescent="0.3">
      <c r="D29" s="10"/>
      <c r="E29" s="11"/>
      <c r="F29" s="12"/>
    </row>
    <row r="30" spans="4:6" ht="18.75" x14ac:dyDescent="0.3">
      <c r="E30" s="2"/>
      <c r="F30" s="2"/>
    </row>
  </sheetData>
  <mergeCells count="1">
    <mergeCell ref="D6:F6"/>
  </mergeCells>
  <pageMargins left="0.7" right="0.7" top="1.3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28218-67A9-44B7-8B60-F3CC880F5477}">
  <dimension ref="F1:H29"/>
  <sheetViews>
    <sheetView workbookViewId="0">
      <selection activeCell="Q14" sqref="Q14"/>
    </sheetView>
  </sheetViews>
  <sheetFormatPr baseColWidth="10" defaultRowHeight="15" x14ac:dyDescent="0.25"/>
  <cols>
    <col min="1" max="1" width="12.5703125" customWidth="1"/>
    <col min="2" max="5" width="0" hidden="1" customWidth="1"/>
    <col min="6" max="6" width="33.42578125" customWidth="1"/>
    <col min="8" max="8" width="21" customWidth="1"/>
  </cols>
  <sheetData>
    <row r="1" spans="6:8" ht="18.75" x14ac:dyDescent="0.3">
      <c r="F1" s="1" t="s">
        <v>0</v>
      </c>
      <c r="G1" s="2"/>
      <c r="H1" s="2"/>
    </row>
    <row r="2" spans="6:8" ht="25.9" customHeight="1" x14ac:dyDescent="0.25">
      <c r="F2" s="52" t="s">
        <v>25</v>
      </c>
      <c r="G2" s="52"/>
      <c r="H2" s="52"/>
    </row>
    <row r="3" spans="6:8" ht="18.75" x14ac:dyDescent="0.3">
      <c r="F3" s="2"/>
      <c r="G3" s="2"/>
      <c r="H3" s="2"/>
    </row>
    <row r="4" spans="6:8" ht="18.75" x14ac:dyDescent="0.3">
      <c r="F4" s="1" t="s">
        <v>26</v>
      </c>
      <c r="G4" s="3" t="s">
        <v>3</v>
      </c>
      <c r="H4" s="13" t="s">
        <v>27</v>
      </c>
    </row>
    <row r="5" spans="6:8" ht="18.75" x14ac:dyDescent="0.3">
      <c r="F5" s="1" t="s">
        <v>28</v>
      </c>
      <c r="G5" s="2"/>
      <c r="H5" s="13"/>
    </row>
    <row r="6" spans="6:8" ht="18.75" x14ac:dyDescent="0.3">
      <c r="F6" s="1" t="s">
        <v>29</v>
      </c>
      <c r="G6" s="2"/>
      <c r="H6" s="4"/>
    </row>
    <row r="7" spans="6:8" ht="18.75" x14ac:dyDescent="0.3">
      <c r="F7" s="1" t="s">
        <v>30</v>
      </c>
      <c r="G7" s="2"/>
      <c r="H7" s="2"/>
    </row>
    <row r="8" spans="6:8" ht="18.75" x14ac:dyDescent="0.3">
      <c r="F8" s="1" t="s">
        <v>31</v>
      </c>
      <c r="G8" s="2"/>
      <c r="H8" s="2"/>
    </row>
    <row r="9" spans="6:8" ht="18.75" x14ac:dyDescent="0.3">
      <c r="F9" s="2"/>
      <c r="G9" s="2"/>
      <c r="H9" s="2"/>
    </row>
    <row r="10" spans="6:8" ht="18.75" x14ac:dyDescent="0.3">
      <c r="F10" s="1"/>
      <c r="G10" s="5" t="s">
        <v>8</v>
      </c>
      <c r="H10" s="5" t="s">
        <v>9</v>
      </c>
    </row>
    <row r="11" spans="6:8" ht="18.75" x14ac:dyDescent="0.3">
      <c r="F11" s="5" t="s">
        <v>10</v>
      </c>
      <c r="G11" s="5" t="s">
        <v>8</v>
      </c>
      <c r="H11" s="5">
        <v>4600</v>
      </c>
    </row>
    <row r="12" spans="6:8" ht="18.75" x14ac:dyDescent="0.3">
      <c r="F12" s="6" t="s">
        <v>32</v>
      </c>
      <c r="G12" s="7">
        <v>9.1000000000000004E-3</v>
      </c>
      <c r="H12" s="14">
        <v>42</v>
      </c>
    </row>
    <row r="13" spans="6:8" ht="18.75" x14ac:dyDescent="0.3">
      <c r="F13" s="6" t="s">
        <v>33</v>
      </c>
      <c r="G13" s="7">
        <v>1.6E-2</v>
      </c>
      <c r="H13" s="14">
        <f t="shared" ref="H13:H28" si="0">$H$11*G13</f>
        <v>73.600000000000009</v>
      </c>
    </row>
    <row r="14" spans="6:8" ht="18.75" x14ac:dyDescent="0.3">
      <c r="F14" s="6" t="s">
        <v>11</v>
      </c>
      <c r="G14" s="7"/>
      <c r="H14" s="14">
        <f t="shared" si="0"/>
        <v>0</v>
      </c>
    </row>
    <row r="15" spans="6:8" ht="18.75" x14ac:dyDescent="0.3">
      <c r="F15" s="6" t="s">
        <v>34</v>
      </c>
      <c r="G15" s="7">
        <v>3.0000000000000001E-3</v>
      </c>
      <c r="H15" s="14">
        <v>14</v>
      </c>
    </row>
    <row r="16" spans="6:8" ht="18.75" x14ac:dyDescent="0.3">
      <c r="F16" s="6" t="s">
        <v>35</v>
      </c>
      <c r="G16" s="7">
        <v>3.0000000000000001E-3</v>
      </c>
      <c r="H16" s="14">
        <v>14</v>
      </c>
    </row>
    <row r="17" spans="6:8" ht="18.75" x14ac:dyDescent="0.3">
      <c r="F17" s="6" t="s">
        <v>36</v>
      </c>
      <c r="G17" s="7">
        <v>7.0000000000000007E-2</v>
      </c>
      <c r="H17" s="14">
        <v>325</v>
      </c>
    </row>
    <row r="18" spans="6:8" ht="18.75" x14ac:dyDescent="0.3">
      <c r="F18" s="6" t="s">
        <v>37</v>
      </c>
      <c r="G18" s="7">
        <v>1.2999999999999999E-2</v>
      </c>
      <c r="H18" s="14">
        <v>60</v>
      </c>
    </row>
    <row r="19" spans="6:8" ht="18.75" x14ac:dyDescent="0.3">
      <c r="F19" s="6" t="s">
        <v>14</v>
      </c>
      <c r="G19" s="7">
        <v>6.4999999999999997E-3</v>
      </c>
      <c r="H19" s="14">
        <v>30</v>
      </c>
    </row>
    <row r="20" spans="6:8" ht="18.75" x14ac:dyDescent="0.3">
      <c r="F20" s="6" t="s">
        <v>16</v>
      </c>
      <c r="G20" s="7">
        <v>0.03</v>
      </c>
      <c r="H20" s="14">
        <f t="shared" si="0"/>
        <v>138</v>
      </c>
    </row>
    <row r="21" spans="6:8" ht="18.75" x14ac:dyDescent="0.3">
      <c r="F21" s="6" t="s">
        <v>38</v>
      </c>
      <c r="G21" s="7">
        <v>5.5999999999999999E-3</v>
      </c>
      <c r="H21" s="14">
        <v>26</v>
      </c>
    </row>
    <row r="22" spans="6:8" ht="18.75" x14ac:dyDescent="0.3">
      <c r="F22" s="6" t="s">
        <v>39</v>
      </c>
      <c r="G22" s="7">
        <v>7.4999999999999997E-3</v>
      </c>
      <c r="H22" s="14">
        <f t="shared" si="0"/>
        <v>34.5</v>
      </c>
    </row>
    <row r="23" spans="6:8" ht="18.75" x14ac:dyDescent="0.3">
      <c r="F23" s="6" t="s">
        <v>40</v>
      </c>
      <c r="G23" s="7">
        <v>1.2999999999999999E-3</v>
      </c>
      <c r="H23" s="14">
        <f t="shared" si="0"/>
        <v>5.9799999999999995</v>
      </c>
    </row>
    <row r="24" spans="6:8" ht="18.75" x14ac:dyDescent="0.3">
      <c r="F24" s="6" t="s">
        <v>41</v>
      </c>
      <c r="G24" s="7"/>
      <c r="H24" s="14">
        <f t="shared" si="0"/>
        <v>0</v>
      </c>
    </row>
    <row r="25" spans="6:8" ht="18.75" x14ac:dyDescent="0.3">
      <c r="F25" s="6" t="s">
        <v>18</v>
      </c>
      <c r="G25" s="7">
        <v>2.0000000000000001E-4</v>
      </c>
      <c r="H25" s="14">
        <v>1</v>
      </c>
    </row>
    <row r="26" spans="6:8" ht="18.75" x14ac:dyDescent="0.3">
      <c r="F26" s="6" t="s">
        <v>42</v>
      </c>
      <c r="G26" s="7">
        <v>1E-3</v>
      </c>
      <c r="H26" s="14">
        <f t="shared" si="0"/>
        <v>4.6000000000000005</v>
      </c>
    </row>
    <row r="27" spans="6:8" ht="18.75" x14ac:dyDescent="0.3">
      <c r="F27" s="6" t="s">
        <v>43</v>
      </c>
      <c r="G27" s="7">
        <v>0.08</v>
      </c>
      <c r="H27" s="14">
        <v>360</v>
      </c>
    </row>
    <row r="28" spans="6:8" ht="18.75" x14ac:dyDescent="0.3">
      <c r="F28" s="6" t="s">
        <v>21</v>
      </c>
      <c r="G28" s="7">
        <v>2E-3</v>
      </c>
      <c r="H28" s="14">
        <f t="shared" si="0"/>
        <v>9.2000000000000011</v>
      </c>
    </row>
    <row r="29" spans="6:8" ht="18.75" x14ac:dyDescent="0.3">
      <c r="F29" s="10"/>
      <c r="G29" s="10"/>
      <c r="H29" s="15"/>
    </row>
  </sheetData>
  <mergeCells count="1">
    <mergeCell ref="F2:H2"/>
  </mergeCells>
  <pageMargins left="0.7" right="0.7" top="1.34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40A8D-A0A1-4C34-9870-C5C7272A711E}">
  <sheetPr>
    <tabColor theme="1"/>
  </sheetPr>
  <dimension ref="B3:G37"/>
  <sheetViews>
    <sheetView workbookViewId="0">
      <selection activeCell="J16" sqref="J16"/>
    </sheetView>
  </sheetViews>
  <sheetFormatPr baseColWidth="10" defaultRowHeight="15" x14ac:dyDescent="0.25"/>
  <cols>
    <col min="1" max="1" width="5" customWidth="1"/>
    <col min="2" max="2" width="0.28515625" hidden="1" customWidth="1"/>
    <col min="3" max="3" width="0" hidden="1" customWidth="1"/>
    <col min="4" max="4" width="10.85546875" hidden="1" customWidth="1"/>
    <col min="5" max="5" width="28.85546875" customWidth="1"/>
    <col min="6" max="6" width="12.5703125" customWidth="1"/>
    <col min="7" max="7" width="19" customWidth="1"/>
  </cols>
  <sheetData>
    <row r="3" spans="5:7" ht="21" x14ac:dyDescent="0.35">
      <c r="E3" s="16" t="s">
        <v>0</v>
      </c>
    </row>
    <row r="4" spans="5:7" ht="21" x14ac:dyDescent="0.25">
      <c r="E4" s="55" t="s">
        <v>44</v>
      </c>
      <c r="F4" s="55"/>
      <c r="G4" s="55"/>
    </row>
    <row r="5" spans="5:7" x14ac:dyDescent="0.25">
      <c r="E5" s="53" t="s">
        <v>45</v>
      </c>
      <c r="F5" s="53"/>
      <c r="G5" s="53"/>
    </row>
    <row r="6" spans="5:7" x14ac:dyDescent="0.25">
      <c r="E6" s="53" t="s">
        <v>46</v>
      </c>
      <c r="F6" s="53"/>
      <c r="G6" s="53"/>
    </row>
    <row r="7" spans="5:7" ht="40.9" customHeight="1" x14ac:dyDescent="0.25">
      <c r="E7" s="56" t="s">
        <v>47</v>
      </c>
      <c r="F7" s="56"/>
      <c r="G7" s="56"/>
    </row>
    <row r="8" spans="5:7" x14ac:dyDescent="0.25">
      <c r="E8" s="53" t="s">
        <v>48</v>
      </c>
      <c r="F8" s="53"/>
      <c r="G8" s="53"/>
    </row>
    <row r="9" spans="5:7" x14ac:dyDescent="0.25">
      <c r="E9" s="53" t="s">
        <v>49</v>
      </c>
      <c r="F9" s="53"/>
      <c r="G9" s="53"/>
    </row>
    <row r="10" spans="5:7" x14ac:dyDescent="0.25">
      <c r="E10" s="53" t="s">
        <v>50</v>
      </c>
      <c r="F10" s="53"/>
      <c r="G10" s="53"/>
    </row>
    <row r="11" spans="5:7" x14ac:dyDescent="0.25">
      <c r="E11" s="53" t="s">
        <v>51</v>
      </c>
      <c r="F11" s="53"/>
      <c r="G11" s="53"/>
    </row>
    <row r="12" spans="5:7" x14ac:dyDescent="0.25">
      <c r="E12" s="53" t="s">
        <v>52</v>
      </c>
      <c r="F12" s="53"/>
      <c r="G12" s="53"/>
    </row>
    <row r="13" spans="5:7" x14ac:dyDescent="0.25">
      <c r="E13" s="53" t="s">
        <v>53</v>
      </c>
      <c r="F13" s="53"/>
      <c r="G13" s="53"/>
    </row>
    <row r="14" spans="5:7" ht="29.45" customHeight="1" thickBot="1" x14ac:dyDescent="0.3">
      <c r="E14" s="54" t="s">
        <v>54</v>
      </c>
      <c r="F14" s="54"/>
      <c r="G14" s="54"/>
    </row>
    <row r="15" spans="5:7" ht="25.15" customHeight="1" thickBot="1" x14ac:dyDescent="0.3">
      <c r="E15" s="18"/>
      <c r="F15" s="17"/>
      <c r="G15" s="19" t="s">
        <v>55</v>
      </c>
    </row>
    <row r="16" spans="5:7" ht="24" customHeight="1" x14ac:dyDescent="0.25">
      <c r="E16" s="20" t="s">
        <v>10</v>
      </c>
      <c r="F16" s="21" t="s">
        <v>8</v>
      </c>
      <c r="G16" s="22">
        <v>740</v>
      </c>
    </row>
    <row r="17" spans="5:7" x14ac:dyDescent="0.25">
      <c r="E17" s="23" t="s">
        <v>32</v>
      </c>
      <c r="F17" s="24">
        <v>7.5999999999999998E-2</v>
      </c>
      <c r="G17" s="25">
        <f>$G$16*F17</f>
        <v>56.24</v>
      </c>
    </row>
    <row r="18" spans="5:7" x14ac:dyDescent="0.25">
      <c r="E18" s="23" t="s">
        <v>56</v>
      </c>
      <c r="F18" s="24">
        <v>1.2999999999999999E-2</v>
      </c>
      <c r="G18" s="25">
        <f t="shared" ref="G18:G37" si="0">$G$16*F18</f>
        <v>9.6199999999999992</v>
      </c>
    </row>
    <row r="19" spans="5:7" x14ac:dyDescent="0.25">
      <c r="E19" s="23" t="s">
        <v>57</v>
      </c>
      <c r="F19" s="24">
        <v>4.2500000000000003E-2</v>
      </c>
      <c r="G19" s="25">
        <f t="shared" si="0"/>
        <v>31.450000000000003</v>
      </c>
    </row>
    <row r="20" spans="5:7" x14ac:dyDescent="0.25">
      <c r="E20" s="23" t="s">
        <v>36</v>
      </c>
      <c r="F20" s="26">
        <v>0.05</v>
      </c>
      <c r="G20" s="25">
        <f t="shared" si="0"/>
        <v>37</v>
      </c>
    </row>
    <row r="21" spans="5:7" x14ac:dyDescent="0.25">
      <c r="E21" s="23" t="s">
        <v>58</v>
      </c>
      <c r="F21" s="26">
        <v>0.03</v>
      </c>
      <c r="G21" s="25">
        <f t="shared" si="0"/>
        <v>22.2</v>
      </c>
    </row>
    <row r="22" spans="5:7" x14ac:dyDescent="0.25">
      <c r="E22" s="23" t="s">
        <v>59</v>
      </c>
      <c r="F22" s="24">
        <v>2.5000000000000001E-2</v>
      </c>
      <c r="G22" s="25">
        <f t="shared" si="0"/>
        <v>18.5</v>
      </c>
    </row>
    <row r="23" spans="5:7" x14ac:dyDescent="0.25">
      <c r="E23" s="23" t="s">
        <v>21</v>
      </c>
      <c r="F23" s="24">
        <v>8.0000000000000002E-3</v>
      </c>
      <c r="G23" s="25">
        <f t="shared" si="0"/>
        <v>5.92</v>
      </c>
    </row>
    <row r="24" spans="5:7" x14ac:dyDescent="0.25">
      <c r="E24" s="23" t="s">
        <v>60</v>
      </c>
      <c r="F24" s="24">
        <v>1.4999999999999999E-2</v>
      </c>
      <c r="G24" s="25">
        <f t="shared" si="0"/>
        <v>11.1</v>
      </c>
    </row>
    <row r="25" spans="5:7" x14ac:dyDescent="0.25">
      <c r="E25" s="23" t="s">
        <v>61</v>
      </c>
      <c r="F25" s="26">
        <v>0.05</v>
      </c>
      <c r="G25" s="25">
        <f t="shared" si="0"/>
        <v>37</v>
      </c>
    </row>
    <row r="26" spans="5:7" x14ac:dyDescent="0.25">
      <c r="E26" s="23" t="s">
        <v>62</v>
      </c>
      <c r="F26" s="26">
        <v>0.05</v>
      </c>
      <c r="G26" s="25">
        <f t="shared" si="0"/>
        <v>37</v>
      </c>
    </row>
    <row r="27" spans="5:7" x14ac:dyDescent="0.25">
      <c r="E27" s="23" t="s">
        <v>63</v>
      </c>
      <c r="F27" s="26">
        <v>0.11</v>
      </c>
      <c r="G27" s="25">
        <f t="shared" si="0"/>
        <v>81.400000000000006</v>
      </c>
    </row>
    <row r="28" spans="5:7" x14ac:dyDescent="0.25">
      <c r="E28" s="23" t="s">
        <v>64</v>
      </c>
      <c r="F28" s="26">
        <v>0.01</v>
      </c>
      <c r="G28" s="25">
        <f t="shared" si="0"/>
        <v>7.4</v>
      </c>
    </row>
    <row r="29" spans="5:7" x14ac:dyDescent="0.25">
      <c r="E29" s="23" t="s">
        <v>65</v>
      </c>
      <c r="F29" s="26">
        <v>0.03</v>
      </c>
      <c r="G29" s="25">
        <f t="shared" si="0"/>
        <v>22.2</v>
      </c>
    </row>
    <row r="30" spans="5:7" x14ac:dyDescent="0.25">
      <c r="E30" s="23" t="s">
        <v>66</v>
      </c>
      <c r="F30" s="26">
        <v>0.02</v>
      </c>
      <c r="G30" s="25">
        <f t="shared" si="0"/>
        <v>14.8</v>
      </c>
    </row>
    <row r="31" spans="5:7" x14ac:dyDescent="0.25">
      <c r="E31" s="23" t="s">
        <v>14</v>
      </c>
      <c r="F31" s="24">
        <v>5.0000000000000001E-3</v>
      </c>
      <c r="G31" s="25">
        <f t="shared" si="0"/>
        <v>3.7</v>
      </c>
    </row>
    <row r="32" spans="5:7" x14ac:dyDescent="0.25">
      <c r="E32" s="23" t="s">
        <v>67</v>
      </c>
      <c r="F32" s="24">
        <v>5.0000000000000001E-3</v>
      </c>
      <c r="G32" s="25">
        <f t="shared" si="0"/>
        <v>3.7</v>
      </c>
    </row>
    <row r="33" spans="5:7" x14ac:dyDescent="0.25">
      <c r="E33" s="23" t="s">
        <v>68</v>
      </c>
      <c r="F33" s="24">
        <v>1.2999999999999999E-2</v>
      </c>
      <c r="G33" s="25">
        <f t="shared" si="0"/>
        <v>9.6199999999999992</v>
      </c>
    </row>
    <row r="34" spans="5:7" x14ac:dyDescent="0.25">
      <c r="E34" s="23" t="s">
        <v>69</v>
      </c>
      <c r="F34" s="26">
        <v>0.09</v>
      </c>
      <c r="G34" s="25">
        <f t="shared" si="0"/>
        <v>66.599999999999994</v>
      </c>
    </row>
    <row r="35" spans="5:7" x14ac:dyDescent="0.25">
      <c r="E35" s="23" t="s">
        <v>70</v>
      </c>
      <c r="F35" s="24">
        <v>0.03</v>
      </c>
      <c r="G35" s="25">
        <f t="shared" si="0"/>
        <v>22.2</v>
      </c>
    </row>
    <row r="36" spans="5:7" x14ac:dyDescent="0.25">
      <c r="E36" s="27" t="s">
        <v>71</v>
      </c>
      <c r="F36" s="28">
        <v>3.0000000000000001E-3</v>
      </c>
      <c r="G36" s="25">
        <f t="shared" si="0"/>
        <v>2.2200000000000002</v>
      </c>
    </row>
    <row r="37" spans="5:7" ht="15.75" thickBot="1" x14ac:dyDescent="0.3">
      <c r="E37" s="29" t="s">
        <v>72</v>
      </c>
      <c r="F37" s="30">
        <v>5.0000000000000001E-3</v>
      </c>
      <c r="G37" s="31">
        <f t="shared" si="0"/>
        <v>3.7</v>
      </c>
    </row>
  </sheetData>
  <mergeCells count="11">
    <mergeCell ref="E9:G9"/>
    <mergeCell ref="E4:G4"/>
    <mergeCell ref="E5:G5"/>
    <mergeCell ref="E6:G6"/>
    <mergeCell ref="E7:G7"/>
    <mergeCell ref="E8:G8"/>
    <mergeCell ref="E10:G10"/>
    <mergeCell ref="E11:G11"/>
    <mergeCell ref="E12:G12"/>
    <mergeCell ref="E13:G13"/>
    <mergeCell ref="E14:G14"/>
  </mergeCells>
  <pageMargins left="1.3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8F2A6-D5D7-4255-8250-67AD543B29EB}">
  <sheetPr>
    <tabColor theme="9" tint="-0.249977111117893"/>
  </sheetPr>
  <dimension ref="G10:I44"/>
  <sheetViews>
    <sheetView topLeftCell="F7" workbookViewId="0">
      <selection activeCell="O32" sqref="O32"/>
    </sheetView>
  </sheetViews>
  <sheetFormatPr baseColWidth="10" defaultRowHeight="15" x14ac:dyDescent="0.25"/>
  <cols>
    <col min="1" max="5" width="0" hidden="1" customWidth="1"/>
    <col min="6" max="6" width="9.42578125" customWidth="1"/>
    <col min="7" max="7" width="22.28515625" customWidth="1"/>
    <col min="9" max="9" width="17.140625" customWidth="1"/>
  </cols>
  <sheetData>
    <row r="10" spans="7:9" ht="18.75" x14ac:dyDescent="0.3">
      <c r="G10" s="1" t="s">
        <v>0</v>
      </c>
    </row>
    <row r="11" spans="7:9" ht="39" customHeight="1" x14ac:dyDescent="0.25">
      <c r="G11" s="55" t="s">
        <v>73</v>
      </c>
      <c r="H11" s="55"/>
      <c r="I11" s="55"/>
    </row>
    <row r="12" spans="7:9" x14ac:dyDescent="0.25">
      <c r="G12" s="53" t="s">
        <v>74</v>
      </c>
      <c r="H12" s="53"/>
      <c r="I12" s="53"/>
    </row>
    <row r="13" spans="7:9" ht="13.9" customHeight="1" x14ac:dyDescent="0.25">
      <c r="G13" s="53" t="s">
        <v>75</v>
      </c>
      <c r="H13" s="53"/>
      <c r="I13" s="53"/>
    </row>
    <row r="14" spans="7:9" ht="37.15" customHeight="1" x14ac:dyDescent="0.25">
      <c r="G14" s="56" t="s">
        <v>76</v>
      </c>
      <c r="H14" s="56"/>
      <c r="I14" s="56"/>
    </row>
    <row r="15" spans="7:9" x14ac:dyDescent="0.25">
      <c r="G15" s="53" t="s">
        <v>48</v>
      </c>
      <c r="H15" s="53"/>
      <c r="I15" s="53"/>
    </row>
    <row r="16" spans="7:9" x14ac:dyDescent="0.25">
      <c r="G16" s="53" t="s">
        <v>77</v>
      </c>
      <c r="H16" s="53"/>
      <c r="I16" s="53"/>
    </row>
    <row r="17" spans="7:9" x14ac:dyDescent="0.25">
      <c r="G17" s="53" t="s">
        <v>78</v>
      </c>
      <c r="H17" s="53"/>
      <c r="I17" s="53"/>
    </row>
    <row r="18" spans="7:9" x14ac:dyDescent="0.25">
      <c r="G18" s="53" t="s">
        <v>51</v>
      </c>
      <c r="H18" s="53"/>
      <c r="I18" s="53"/>
    </row>
    <row r="19" spans="7:9" x14ac:dyDescent="0.25">
      <c r="G19" s="53" t="s">
        <v>79</v>
      </c>
      <c r="H19" s="53"/>
      <c r="I19" s="53"/>
    </row>
    <row r="20" spans="7:9" x14ac:dyDescent="0.25">
      <c r="G20" s="53" t="s">
        <v>80</v>
      </c>
      <c r="H20" s="53"/>
      <c r="I20" s="53"/>
    </row>
    <row r="21" spans="7:9" x14ac:dyDescent="0.25">
      <c r="G21" s="54" t="s">
        <v>54</v>
      </c>
      <c r="H21" s="54"/>
      <c r="I21" s="54"/>
    </row>
    <row r="22" spans="7:9" ht="30" customHeight="1" x14ac:dyDescent="0.25">
      <c r="G22" s="57"/>
      <c r="H22" s="57"/>
      <c r="I22" s="57"/>
    </row>
    <row r="23" spans="7:9" ht="30" customHeight="1" x14ac:dyDescent="0.25">
      <c r="G23" s="32"/>
      <c r="H23" s="33" t="s">
        <v>8</v>
      </c>
      <c r="I23" s="33" t="s">
        <v>55</v>
      </c>
    </row>
    <row r="24" spans="7:9" ht="30" customHeight="1" x14ac:dyDescent="0.25">
      <c r="G24" s="33" t="s">
        <v>10</v>
      </c>
      <c r="H24" s="33" t="s">
        <v>8</v>
      </c>
      <c r="I24" s="33">
        <v>760</v>
      </c>
    </row>
    <row r="25" spans="7:9" x14ac:dyDescent="0.25">
      <c r="G25" s="34" t="s">
        <v>32</v>
      </c>
      <c r="H25" s="35">
        <v>3.4000000000000002E-2</v>
      </c>
      <c r="I25" s="36">
        <f>$I$24*H25</f>
        <v>25.840000000000003</v>
      </c>
    </row>
    <row r="26" spans="7:9" x14ac:dyDescent="0.25">
      <c r="G26" s="34" t="s">
        <v>56</v>
      </c>
      <c r="H26" s="35">
        <v>1.2E-2</v>
      </c>
      <c r="I26" s="36">
        <f t="shared" ref="I26:I44" si="0">$I$24*H26</f>
        <v>9.120000000000001</v>
      </c>
    </row>
    <row r="27" spans="7:9" x14ac:dyDescent="0.25">
      <c r="G27" s="34" t="s">
        <v>81</v>
      </c>
      <c r="H27" s="35">
        <v>1.7000000000000001E-2</v>
      </c>
      <c r="I27" s="36">
        <f t="shared" si="0"/>
        <v>12.920000000000002</v>
      </c>
    </row>
    <row r="28" spans="7:9" x14ac:dyDescent="0.25">
      <c r="G28" s="34" t="s">
        <v>36</v>
      </c>
      <c r="H28" s="37">
        <v>0.05</v>
      </c>
      <c r="I28" s="36">
        <f t="shared" si="0"/>
        <v>38</v>
      </c>
    </row>
    <row r="29" spans="7:9" x14ac:dyDescent="0.25">
      <c r="G29" s="34" t="s">
        <v>58</v>
      </c>
      <c r="H29" s="37">
        <v>0.03</v>
      </c>
      <c r="I29" s="36">
        <f t="shared" si="0"/>
        <v>22.8</v>
      </c>
    </row>
    <row r="30" spans="7:9" x14ac:dyDescent="0.25">
      <c r="G30" s="34" t="s">
        <v>59</v>
      </c>
      <c r="H30" s="35">
        <v>2.5000000000000001E-2</v>
      </c>
      <c r="I30" s="36">
        <f t="shared" si="0"/>
        <v>19</v>
      </c>
    </row>
    <row r="31" spans="7:9" x14ac:dyDescent="0.25">
      <c r="G31" s="34" t="s">
        <v>21</v>
      </c>
      <c r="H31" s="35">
        <v>5.0000000000000001E-3</v>
      </c>
      <c r="I31" s="36">
        <f t="shared" si="0"/>
        <v>3.8000000000000003</v>
      </c>
    </row>
    <row r="32" spans="7:9" x14ac:dyDescent="0.25">
      <c r="G32" s="34" t="s">
        <v>60</v>
      </c>
      <c r="H32" s="35">
        <v>1.4999999999999999E-2</v>
      </c>
      <c r="I32" s="36">
        <f t="shared" si="0"/>
        <v>11.4</v>
      </c>
    </row>
    <row r="33" spans="7:9" x14ac:dyDescent="0.25">
      <c r="G33" s="34" t="s">
        <v>61</v>
      </c>
      <c r="H33" s="37">
        <v>0.05</v>
      </c>
      <c r="I33" s="36">
        <f t="shared" si="0"/>
        <v>38</v>
      </c>
    </row>
    <row r="34" spans="7:9" x14ac:dyDescent="0.25">
      <c r="G34" s="34" t="s">
        <v>62</v>
      </c>
      <c r="H34" s="37">
        <v>0.05</v>
      </c>
      <c r="I34" s="36">
        <f t="shared" si="0"/>
        <v>38</v>
      </c>
    </row>
    <row r="35" spans="7:9" x14ac:dyDescent="0.25">
      <c r="G35" s="34" t="s">
        <v>63</v>
      </c>
      <c r="H35" s="37">
        <v>0.11</v>
      </c>
      <c r="I35" s="36">
        <f t="shared" si="0"/>
        <v>83.6</v>
      </c>
    </row>
    <row r="36" spans="7:9" x14ac:dyDescent="0.25">
      <c r="G36" s="34" t="s">
        <v>64</v>
      </c>
      <c r="H36" s="37">
        <v>0.01</v>
      </c>
      <c r="I36" s="36">
        <f t="shared" si="0"/>
        <v>7.6000000000000005</v>
      </c>
    </row>
    <row r="37" spans="7:9" x14ac:dyDescent="0.25">
      <c r="G37" s="34" t="s">
        <v>65</v>
      </c>
      <c r="H37" s="37">
        <v>0.03</v>
      </c>
      <c r="I37" s="36">
        <f t="shared" si="0"/>
        <v>22.8</v>
      </c>
    </row>
    <row r="38" spans="7:9" x14ac:dyDescent="0.25">
      <c r="G38" s="34" t="s">
        <v>66</v>
      </c>
      <c r="H38" s="37">
        <v>0.02</v>
      </c>
      <c r="I38" s="36">
        <f t="shared" si="0"/>
        <v>15.200000000000001</v>
      </c>
    </row>
    <row r="39" spans="7:9" x14ac:dyDescent="0.25">
      <c r="G39" s="34" t="s">
        <v>14</v>
      </c>
      <c r="H39" s="35">
        <v>5.0000000000000001E-3</v>
      </c>
      <c r="I39" s="36">
        <f t="shared" si="0"/>
        <v>3.8000000000000003</v>
      </c>
    </row>
    <row r="40" spans="7:9" x14ac:dyDescent="0.25">
      <c r="G40" s="34" t="s">
        <v>67</v>
      </c>
      <c r="H40" s="35">
        <v>5.0000000000000001E-3</v>
      </c>
      <c r="I40" s="36">
        <f t="shared" si="0"/>
        <v>3.8000000000000003</v>
      </c>
    </row>
    <row r="41" spans="7:9" x14ac:dyDescent="0.25">
      <c r="G41" s="34" t="s">
        <v>68</v>
      </c>
      <c r="H41" s="35">
        <v>1.2E-2</v>
      </c>
      <c r="I41" s="36">
        <f t="shared" si="0"/>
        <v>9.120000000000001</v>
      </c>
    </row>
    <row r="42" spans="7:9" x14ac:dyDescent="0.25">
      <c r="G42" s="34" t="s">
        <v>69</v>
      </c>
      <c r="H42" s="37">
        <v>0.09</v>
      </c>
      <c r="I42" s="36">
        <f t="shared" si="0"/>
        <v>68.399999999999991</v>
      </c>
    </row>
    <row r="43" spans="7:9" x14ac:dyDescent="0.25">
      <c r="G43" s="34" t="s">
        <v>82</v>
      </c>
      <c r="H43" s="35">
        <v>2.5000000000000001E-2</v>
      </c>
      <c r="I43" s="36">
        <f t="shared" si="0"/>
        <v>19</v>
      </c>
    </row>
    <row r="44" spans="7:9" x14ac:dyDescent="0.25">
      <c r="G44" s="34" t="s">
        <v>71</v>
      </c>
      <c r="H44" s="35">
        <v>2.5000000000000001E-3</v>
      </c>
      <c r="I44" s="36">
        <f t="shared" si="0"/>
        <v>1.9000000000000001</v>
      </c>
    </row>
  </sheetData>
  <mergeCells count="12">
    <mergeCell ref="G22:I22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</mergeCells>
  <pageMargins left="1.1399999999999999" right="0.7" top="0.28999999999999998" bottom="0.17" header="0.3" footer="0.17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43B6F-0222-407A-A674-F9165411DA5C}">
  <sheetPr>
    <tabColor theme="0" tint="-0.249977111117893"/>
  </sheetPr>
  <dimension ref="F1:K28"/>
  <sheetViews>
    <sheetView tabSelected="1" topLeftCell="E1" workbookViewId="0">
      <selection activeCell="N10" sqref="N10"/>
    </sheetView>
  </sheetViews>
  <sheetFormatPr baseColWidth="10" defaultRowHeight="15" x14ac:dyDescent="0.25"/>
  <cols>
    <col min="1" max="4" width="0" hidden="1" customWidth="1"/>
    <col min="5" max="5" width="11.5703125" customWidth="1"/>
    <col min="6" max="6" width="26.140625" customWidth="1"/>
    <col min="7" max="7" width="15.140625" customWidth="1"/>
    <col min="8" max="8" width="21.7109375" customWidth="1"/>
  </cols>
  <sheetData>
    <row r="1" spans="6:11" x14ac:dyDescent="0.25">
      <c r="K1" t="s">
        <v>100</v>
      </c>
    </row>
    <row r="2" spans="6:11" ht="18.75" x14ac:dyDescent="0.3">
      <c r="F2" s="1" t="s">
        <v>0</v>
      </c>
    </row>
    <row r="3" spans="6:11" ht="37.15" customHeight="1" x14ac:dyDescent="0.25">
      <c r="F3" s="59" t="s">
        <v>99</v>
      </c>
      <c r="G3" s="59"/>
      <c r="H3" s="59"/>
    </row>
    <row r="4" spans="6:11" ht="18.75" x14ac:dyDescent="0.3">
      <c r="F4" s="58" t="s">
        <v>98</v>
      </c>
      <c r="G4" s="58"/>
      <c r="H4" s="58"/>
    </row>
    <row r="5" spans="6:11" ht="18.75" x14ac:dyDescent="0.3">
      <c r="F5" s="58" t="s">
        <v>97</v>
      </c>
      <c r="G5" s="58"/>
      <c r="H5" s="58"/>
    </row>
    <row r="6" spans="6:11" ht="37.9" customHeight="1" x14ac:dyDescent="0.25">
      <c r="F6" s="60" t="s">
        <v>96</v>
      </c>
      <c r="G6" s="60"/>
      <c r="H6" s="60"/>
    </row>
    <row r="7" spans="6:11" ht="16.899999999999999" customHeight="1" x14ac:dyDescent="0.3">
      <c r="F7" s="58" t="s">
        <v>95</v>
      </c>
      <c r="G7" s="58"/>
      <c r="H7" s="58"/>
    </row>
    <row r="8" spans="6:11" ht="18.75" x14ac:dyDescent="0.3">
      <c r="F8" s="58" t="s">
        <v>94</v>
      </c>
      <c r="G8" s="58"/>
      <c r="H8" s="58"/>
    </row>
    <row r="9" spans="6:11" ht="18.75" x14ac:dyDescent="0.3">
      <c r="F9" s="58" t="s">
        <v>93</v>
      </c>
      <c r="G9" s="58"/>
      <c r="H9" s="58"/>
    </row>
    <row r="10" spans="6:11" ht="18.75" x14ac:dyDescent="0.3">
      <c r="F10" s="58" t="s">
        <v>92</v>
      </c>
      <c r="G10" s="58"/>
      <c r="H10" s="58"/>
    </row>
    <row r="11" spans="6:11" ht="18.75" x14ac:dyDescent="0.3">
      <c r="F11" s="58" t="s">
        <v>91</v>
      </c>
      <c r="G11" s="58"/>
      <c r="H11" s="58"/>
    </row>
    <row r="12" spans="6:11" ht="18.75" x14ac:dyDescent="0.3">
      <c r="F12" s="51" t="s">
        <v>90</v>
      </c>
      <c r="G12" s="51"/>
      <c r="H12" s="51"/>
    </row>
    <row r="13" spans="6:11" ht="18.75" x14ac:dyDescent="0.3">
      <c r="F13" s="58" t="s">
        <v>89</v>
      </c>
      <c r="G13" s="58"/>
      <c r="H13" s="58"/>
    </row>
    <row r="14" spans="6:11" ht="19.5" thickBot="1" x14ac:dyDescent="0.35">
      <c r="F14" s="1"/>
      <c r="G14" s="1"/>
      <c r="H14" s="1"/>
    </row>
    <row r="15" spans="6:11" ht="19.5" thickBot="1" x14ac:dyDescent="0.35">
      <c r="F15" s="1"/>
      <c r="G15" s="50"/>
      <c r="H15" s="49" t="s">
        <v>88</v>
      </c>
    </row>
    <row r="16" spans="6:11" ht="27.6" customHeight="1" thickBot="1" x14ac:dyDescent="0.3">
      <c r="F16" s="48" t="s">
        <v>87</v>
      </c>
      <c r="G16" s="47" t="s">
        <v>8</v>
      </c>
      <c r="H16" s="46">
        <v>500</v>
      </c>
    </row>
    <row r="17" spans="6:8" ht="19.899999999999999" customHeight="1" x14ac:dyDescent="0.3">
      <c r="F17" s="45" t="s">
        <v>32</v>
      </c>
      <c r="G17" s="44">
        <v>3.5000000000000003E-2</v>
      </c>
      <c r="H17" s="43">
        <f t="shared" ref="H17:H28" si="0">$H$16*G17</f>
        <v>17.5</v>
      </c>
    </row>
    <row r="18" spans="6:8" ht="19.899999999999999" customHeight="1" x14ac:dyDescent="0.3">
      <c r="F18" s="42" t="s">
        <v>11</v>
      </c>
      <c r="G18" s="7">
        <v>8.9999999999999993E-3</v>
      </c>
      <c r="H18" s="41">
        <f t="shared" si="0"/>
        <v>4.5</v>
      </c>
    </row>
    <row r="19" spans="6:8" ht="18" customHeight="1" x14ac:dyDescent="0.3">
      <c r="F19" s="42" t="s">
        <v>36</v>
      </c>
      <c r="G19" s="9">
        <v>0.06</v>
      </c>
      <c r="H19" s="41">
        <f t="shared" si="0"/>
        <v>30</v>
      </c>
    </row>
    <row r="20" spans="6:8" ht="17.45" customHeight="1" x14ac:dyDescent="0.3">
      <c r="F20" s="42" t="s">
        <v>37</v>
      </c>
      <c r="G20" s="7">
        <v>1.4999999999999999E-2</v>
      </c>
      <c r="H20" s="41">
        <f t="shared" si="0"/>
        <v>7.5</v>
      </c>
    </row>
    <row r="21" spans="6:8" ht="17.45" customHeight="1" x14ac:dyDescent="0.3">
      <c r="F21" s="42" t="s">
        <v>62</v>
      </c>
      <c r="G21" s="9">
        <v>0.05</v>
      </c>
      <c r="H21" s="41">
        <f t="shared" si="0"/>
        <v>25</v>
      </c>
    </row>
    <row r="22" spans="6:8" ht="17.45" customHeight="1" x14ac:dyDescent="0.3">
      <c r="F22" s="42" t="s">
        <v>63</v>
      </c>
      <c r="G22" s="9">
        <v>0.04</v>
      </c>
      <c r="H22" s="41">
        <f t="shared" si="0"/>
        <v>20</v>
      </c>
    </row>
    <row r="23" spans="6:8" ht="18" customHeight="1" x14ac:dyDescent="0.3">
      <c r="F23" s="42" t="s">
        <v>66</v>
      </c>
      <c r="G23" s="7">
        <v>6.5000000000000002E-2</v>
      </c>
      <c r="H23" s="41">
        <f t="shared" si="0"/>
        <v>32.5</v>
      </c>
    </row>
    <row r="24" spans="6:8" ht="17.45" customHeight="1" x14ac:dyDescent="0.3">
      <c r="F24" s="42" t="s">
        <v>86</v>
      </c>
      <c r="G24" s="9">
        <v>0.05</v>
      </c>
      <c r="H24" s="41">
        <f t="shared" si="0"/>
        <v>25</v>
      </c>
    </row>
    <row r="25" spans="6:8" ht="17.45" customHeight="1" x14ac:dyDescent="0.3">
      <c r="F25" s="42" t="s">
        <v>85</v>
      </c>
      <c r="G25" s="9">
        <v>0.02</v>
      </c>
      <c r="H25" s="41">
        <f t="shared" si="0"/>
        <v>10</v>
      </c>
    </row>
    <row r="26" spans="6:8" ht="16.899999999999999" customHeight="1" x14ac:dyDescent="0.3">
      <c r="F26" s="42" t="s">
        <v>84</v>
      </c>
      <c r="G26" s="9">
        <v>0.04</v>
      </c>
      <c r="H26" s="41">
        <f t="shared" si="0"/>
        <v>20</v>
      </c>
    </row>
    <row r="27" spans="6:8" ht="16.899999999999999" customHeight="1" x14ac:dyDescent="0.3">
      <c r="F27" s="42" t="s">
        <v>17</v>
      </c>
      <c r="G27" s="7">
        <v>5.0000000000000001E-3</v>
      </c>
      <c r="H27" s="41">
        <f t="shared" si="0"/>
        <v>2.5</v>
      </c>
    </row>
    <row r="28" spans="6:8" ht="17.45" customHeight="1" thickBot="1" x14ac:dyDescent="0.35">
      <c r="F28" s="40" t="s">
        <v>83</v>
      </c>
      <c r="G28" s="39">
        <v>6.0000000000000001E-3</v>
      </c>
      <c r="H28" s="38">
        <f t="shared" si="0"/>
        <v>3</v>
      </c>
    </row>
  </sheetData>
  <mergeCells count="10">
    <mergeCell ref="F9:H9"/>
    <mergeCell ref="F10:H10"/>
    <mergeCell ref="F11:H11"/>
    <mergeCell ref="F13:H13"/>
    <mergeCell ref="F3:H3"/>
    <mergeCell ref="F4:H4"/>
    <mergeCell ref="F5:H5"/>
    <mergeCell ref="F7:H7"/>
    <mergeCell ref="F8:H8"/>
    <mergeCell ref="F6:H6"/>
  </mergeCells>
  <pageMargins left="0.7" right="0.7" top="1.21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PH 1 -Rivier</vt:lpstr>
      <vt:lpstr>PH 2 -tannage</vt:lpstr>
      <vt:lpstr>PH3-RETANNAGE COL NOIR</vt:lpstr>
      <vt:lpstr>PH 3-RETANNGE COL LT BROWN</vt:lpstr>
      <vt:lpstr>RETANNAGE CROUTE VELOURS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bouchra elmadi</dc:creator>
  <cp:lastModifiedBy>bouchra elmadi</cp:lastModifiedBy>
  <dcterms:created xsi:type="dcterms:W3CDTF">2026-02-17T17:10:28Z</dcterms:created>
  <dcterms:modified xsi:type="dcterms:W3CDTF">2026-02-17T17:33:01Z</dcterms:modified>
</cp:coreProperties>
</file>